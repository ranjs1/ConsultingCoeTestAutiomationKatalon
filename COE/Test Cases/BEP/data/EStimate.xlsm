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8201" codeName="{21656B06-1B9B-AA78-C99D-37B55691406E}"/>
  <workbookPr codeName="ThisWorkbook" defaultThemeVersion="124226"/>
  <mc:AlternateContent xmlns:mc="http://schemas.openxmlformats.org/markup-compatibility/2006">
    <mc:Choice Requires="x15">
      <x15ac:absPath xmlns:x15ac="http://schemas.microsoft.com/office/spreadsheetml/2010/11/ac" url="C:\Users\raycp\Desktop\ECR\"/>
    </mc:Choice>
  </mc:AlternateContent>
  <bookViews>
    <workbookView xWindow="240" yWindow="48" windowWidth="14220" windowHeight="8580" tabRatio="881"/>
  </bookViews>
  <sheets>
    <sheet name="Summary" sheetId="14" r:id="rId1"/>
    <sheet name="TCP INVESTMENT" sheetId="38" state="hidden" r:id="rId2"/>
    <sheet name="Non-Reimbursable Expenses" sheetId="16" r:id="rId3"/>
    <sheet name="SPRINT ZERO" sheetId="34" r:id="rId4"/>
    <sheet name="SPRINT 1-N" sheetId="35" r:id="rId5"/>
    <sheet name="SPRINT Z" sheetId="36" r:id="rId6"/>
    <sheet name="SPRINT definition" sheetId="37" r:id="rId7"/>
    <sheet name="INVESTMENT" sheetId="39" r:id="rId8"/>
    <sheet name="SE" sheetId="31" r:id="rId9"/>
    <sheet name="Risks and Assumptions" sheetId="13" r:id="rId10"/>
    <sheet name="RATE CARD" sheetId="33" r:id="rId11"/>
    <sheet name="Inception" sheetId="23" r:id="rId12"/>
    <sheet name="Elaboration" sheetId="28" r:id="rId13"/>
    <sheet name="Construction" sheetId="29" r:id="rId14"/>
    <sheet name="Transition" sheetId="30" r:id="rId15"/>
    <sheet name="gsrates" sheetId="32" state="hidden" r:id="rId16"/>
    <sheet name="RISK" sheetId="22" r:id="rId17"/>
    <sheet name="rates" sheetId="21" state="hidden" r:id="rId18"/>
  </sheets>
  <definedNames>
    <definedName name="Margin_Target">Summary!$J$5</definedName>
    <definedName name="_xlnm.Print_Area" localSheetId="13">Construction!$A$1:$S$56</definedName>
    <definedName name="_xlnm.Print_Area" localSheetId="12">Elaboration!$A$1:$S$56</definedName>
    <definedName name="_xlnm.Print_Area" localSheetId="11">Inception!$A$1:$T$56</definedName>
    <definedName name="_xlnm.Print_Area" localSheetId="7">INVESTMENT!$A$1:$S$57</definedName>
    <definedName name="_xlnm.Print_Area" localSheetId="10">'RATE CARD'!$A$1:$S$79</definedName>
    <definedName name="_xlnm.Print_Area" localSheetId="8">SE!$A$1:$S$56</definedName>
    <definedName name="_xlnm.Print_Area" localSheetId="4">'SPRINT 1-N'!$A$1:$S$56</definedName>
    <definedName name="_xlnm.Print_Area" localSheetId="5">'SPRINT Z'!$A$1:$S$56</definedName>
    <definedName name="_xlnm.Print_Area" localSheetId="3">'SPRINT ZERO'!$A$1:$S$56</definedName>
    <definedName name="_xlnm.Print_Area" localSheetId="0">Summary!$A$1:$K$31</definedName>
    <definedName name="_xlnm.Print_Area" localSheetId="1">'TCP INVESTMENT'!$A$1:$S$57</definedName>
    <definedName name="_xlnm.Print_Area" localSheetId="14">Transition!$A$1:$S$56</definedName>
  </definedNames>
  <calcPr calcId="171027"/>
</workbook>
</file>

<file path=xl/calcChain.xml><?xml version="1.0" encoding="utf-8"?>
<calcChain xmlns="http://schemas.openxmlformats.org/spreadsheetml/2006/main">
  <c r="U20" i="31" l="1"/>
  <c r="U16" i="31"/>
  <c r="S23" i="31"/>
  <c r="U23" i="31" s="1"/>
  <c r="S22" i="31"/>
  <c r="U22" i="31" s="1"/>
  <c r="S21" i="31"/>
  <c r="U21" i="31" s="1"/>
  <c r="S20" i="31"/>
  <c r="S19" i="31"/>
  <c r="U19" i="31" s="1"/>
  <c r="S18" i="31"/>
  <c r="U18" i="31" s="1"/>
  <c r="S17" i="31"/>
  <c r="U17" i="31" s="1"/>
  <c r="S16" i="31"/>
  <c r="S15" i="31"/>
  <c r="U15" i="31" s="1"/>
  <c r="S14" i="31"/>
  <c r="S24" i="31" s="1"/>
  <c r="U20" i="30"/>
  <c r="U16" i="30"/>
  <c r="U22" i="29"/>
  <c r="U18" i="29"/>
  <c r="U14" i="29"/>
  <c r="U20" i="28"/>
  <c r="U16" i="28"/>
  <c r="U22" i="23"/>
  <c r="U18" i="23"/>
  <c r="U14" i="23"/>
  <c r="U20" i="36"/>
  <c r="U16" i="36"/>
  <c r="U22" i="35"/>
  <c r="U14" i="35"/>
  <c r="U19" i="34"/>
  <c r="U23" i="34"/>
  <c r="S23" i="30"/>
  <c r="U23" i="30" s="1"/>
  <c r="S22" i="30"/>
  <c r="U22" i="30" s="1"/>
  <c r="S21" i="30"/>
  <c r="U21" i="30" s="1"/>
  <c r="S20" i="30"/>
  <c r="S19" i="30"/>
  <c r="U19" i="30" s="1"/>
  <c r="S18" i="30"/>
  <c r="U18" i="30" s="1"/>
  <c r="S17" i="30"/>
  <c r="U17" i="30" s="1"/>
  <c r="S16" i="30"/>
  <c r="S15" i="30"/>
  <c r="U15" i="30" s="1"/>
  <c r="S14" i="30"/>
  <c r="S23" i="29"/>
  <c r="U23" i="29" s="1"/>
  <c r="S22" i="29"/>
  <c r="S21" i="29"/>
  <c r="U21" i="29" s="1"/>
  <c r="S20" i="29"/>
  <c r="U20" i="29" s="1"/>
  <c r="S19" i="29"/>
  <c r="U19" i="29" s="1"/>
  <c r="S18" i="29"/>
  <c r="S17" i="29"/>
  <c r="U17" i="29" s="1"/>
  <c r="S16" i="29"/>
  <c r="U16" i="29" s="1"/>
  <c r="S15" i="29"/>
  <c r="U15" i="29" s="1"/>
  <c r="U24" i="29" s="1"/>
  <c r="S14" i="29"/>
  <c r="S23" i="28"/>
  <c r="U23" i="28" s="1"/>
  <c r="S22" i="28"/>
  <c r="U22" i="28" s="1"/>
  <c r="S21" i="28"/>
  <c r="U21" i="28" s="1"/>
  <c r="S20" i="28"/>
  <c r="S19" i="28"/>
  <c r="U19" i="28" s="1"/>
  <c r="S18" i="28"/>
  <c r="U18" i="28" s="1"/>
  <c r="S17" i="28"/>
  <c r="U17" i="28" s="1"/>
  <c r="S16" i="28"/>
  <c r="S15" i="28"/>
  <c r="U15" i="28" s="1"/>
  <c r="S14" i="28"/>
  <c r="S23" i="23"/>
  <c r="U23" i="23" s="1"/>
  <c r="S22" i="23"/>
  <c r="S21" i="23"/>
  <c r="U21" i="23" s="1"/>
  <c r="S20" i="23"/>
  <c r="U20" i="23" s="1"/>
  <c r="S19" i="23"/>
  <c r="U19" i="23" s="1"/>
  <c r="S18" i="23"/>
  <c r="S17" i="23"/>
  <c r="U17" i="23" s="1"/>
  <c r="S16" i="23"/>
  <c r="U16" i="23" s="1"/>
  <c r="S15" i="23"/>
  <c r="U15" i="23" s="1"/>
  <c r="S14" i="23"/>
  <c r="S23" i="36"/>
  <c r="U23" i="36" s="1"/>
  <c r="S22" i="36"/>
  <c r="U22" i="36" s="1"/>
  <c r="S21" i="36"/>
  <c r="U21" i="36" s="1"/>
  <c r="S20" i="36"/>
  <c r="S19" i="36"/>
  <c r="U19" i="36" s="1"/>
  <c r="S18" i="36"/>
  <c r="U18" i="36" s="1"/>
  <c r="S17" i="36"/>
  <c r="U17" i="36" s="1"/>
  <c r="S16" i="36"/>
  <c r="S15" i="36"/>
  <c r="U15" i="36" s="1"/>
  <c r="S14" i="36"/>
  <c r="S23" i="35"/>
  <c r="U23" i="35" s="1"/>
  <c r="S22" i="35"/>
  <c r="S21" i="35"/>
  <c r="U21" i="35" s="1"/>
  <c r="S20" i="35"/>
  <c r="S19" i="35"/>
  <c r="S18" i="35"/>
  <c r="S17" i="35"/>
  <c r="S16" i="35"/>
  <c r="S15" i="35"/>
  <c r="S14" i="35"/>
  <c r="S23" i="34"/>
  <c r="S15" i="34"/>
  <c r="S16" i="34"/>
  <c r="U16" i="34" s="1"/>
  <c r="S17" i="34"/>
  <c r="U17" i="34" s="1"/>
  <c r="S18" i="34"/>
  <c r="U18" i="34" s="1"/>
  <c r="S19" i="34"/>
  <c r="S20" i="34"/>
  <c r="U20" i="34" s="1"/>
  <c r="S21" i="34"/>
  <c r="U21" i="34" s="1"/>
  <c r="S22" i="34"/>
  <c r="U22" i="34" s="1"/>
  <c r="S14" i="34"/>
  <c r="U14" i="34" s="1"/>
  <c r="S24" i="28" l="1"/>
  <c r="S24" i="30"/>
  <c r="U24" i="23"/>
  <c r="S24" i="36"/>
  <c r="U14" i="36"/>
  <c r="U24" i="36" s="1"/>
  <c r="U14" i="28"/>
  <c r="U24" i="28" s="1"/>
  <c r="U14" i="30"/>
  <c r="U24" i="30" s="1"/>
  <c r="U14" i="31"/>
  <c r="U24" i="31" s="1"/>
  <c r="S24" i="35"/>
  <c r="S24" i="23"/>
  <c r="S24" i="29"/>
  <c r="S24" i="34"/>
  <c r="B34" i="14"/>
  <c r="B33" i="14"/>
  <c r="G33" i="14"/>
  <c r="G33" i="33"/>
  <c r="H33" i="33" s="1"/>
  <c r="G32" i="33"/>
  <c r="H32" i="33" s="1"/>
  <c r="G30" i="33"/>
  <c r="H30" i="33" s="1"/>
  <c r="G28" i="33"/>
  <c r="H28" i="33" s="1"/>
  <c r="G27" i="33"/>
  <c r="H27" i="33" s="1"/>
  <c r="O33" i="33" l="1"/>
  <c r="O32" i="33"/>
  <c r="O30" i="33"/>
  <c r="O28" i="33"/>
  <c r="O27" i="33"/>
  <c r="AC20" i="32"/>
  <c r="K20" i="32"/>
  <c r="J20" i="32"/>
  <c r="I20" i="32"/>
  <c r="AC18" i="32"/>
  <c r="K18" i="32"/>
  <c r="J18" i="32"/>
  <c r="I18" i="32"/>
  <c r="AC17" i="32"/>
  <c r="K17" i="32"/>
  <c r="J17" i="32"/>
  <c r="I17" i="32"/>
  <c r="AC23" i="32"/>
  <c r="K23" i="32"/>
  <c r="J23" i="32"/>
  <c r="I23" i="32"/>
  <c r="AC22" i="32"/>
  <c r="K22" i="32"/>
  <c r="J22" i="32"/>
  <c r="I22" i="32"/>
  <c r="F35" i="38" l="1"/>
  <c r="F34" i="38"/>
  <c r="F33" i="38"/>
  <c r="F32" i="38"/>
  <c r="F31" i="38"/>
  <c r="F30" i="38"/>
  <c r="F29" i="38"/>
  <c r="F24" i="38"/>
  <c r="F23" i="38"/>
  <c r="F22" i="38"/>
  <c r="F21" i="38"/>
  <c r="F20" i="38"/>
  <c r="F19" i="38"/>
  <c r="F18" i="38"/>
  <c r="F17" i="38"/>
  <c r="F16" i="38"/>
  <c r="F15" i="38"/>
  <c r="B2" i="39" l="1"/>
  <c r="B2" i="38" s="1"/>
  <c r="N35" i="38" l="1"/>
  <c r="K35" i="38"/>
  <c r="I35" i="38"/>
  <c r="G35" i="38"/>
  <c r="E35" i="38"/>
  <c r="D35" i="38"/>
  <c r="B35" i="38"/>
  <c r="A35" i="38"/>
  <c r="O34" i="38"/>
  <c r="N34" i="38"/>
  <c r="K34" i="38"/>
  <c r="I34" i="38"/>
  <c r="G34" i="38"/>
  <c r="E34" i="38"/>
  <c r="D34" i="38"/>
  <c r="B34" i="38"/>
  <c r="A34" i="38"/>
  <c r="N33" i="38"/>
  <c r="K33" i="38"/>
  <c r="I33" i="38"/>
  <c r="G33" i="38"/>
  <c r="E33" i="38"/>
  <c r="D33" i="38"/>
  <c r="B33" i="38"/>
  <c r="A33" i="38"/>
  <c r="O32" i="38"/>
  <c r="N32" i="38"/>
  <c r="K32" i="38"/>
  <c r="I32" i="38"/>
  <c r="G32" i="38"/>
  <c r="E32" i="38"/>
  <c r="D32" i="38"/>
  <c r="B32" i="38"/>
  <c r="A32" i="38"/>
  <c r="N31" i="38"/>
  <c r="K31" i="38"/>
  <c r="I31" i="38"/>
  <c r="G31" i="38"/>
  <c r="E31" i="38"/>
  <c r="D31" i="38"/>
  <c r="B31" i="38"/>
  <c r="A31" i="38"/>
  <c r="O30" i="38"/>
  <c r="N30" i="38"/>
  <c r="K30" i="38"/>
  <c r="I30" i="38"/>
  <c r="G30" i="38"/>
  <c r="E30" i="38"/>
  <c r="D30" i="38"/>
  <c r="B30" i="38"/>
  <c r="A30" i="38"/>
  <c r="N29" i="38"/>
  <c r="K29" i="38"/>
  <c r="I29" i="38"/>
  <c r="G29" i="38"/>
  <c r="E29" i="38"/>
  <c r="D29" i="38"/>
  <c r="B29" i="38"/>
  <c r="A29" i="38"/>
  <c r="N24" i="38"/>
  <c r="G24" i="38"/>
  <c r="E24" i="38"/>
  <c r="D24" i="38"/>
  <c r="B24" i="38"/>
  <c r="A24" i="38"/>
  <c r="N23" i="38"/>
  <c r="G23" i="38"/>
  <c r="E23" i="38"/>
  <c r="D23" i="38"/>
  <c r="B23" i="38"/>
  <c r="A23" i="38"/>
  <c r="N22" i="38"/>
  <c r="G22" i="38"/>
  <c r="E22" i="38"/>
  <c r="D22" i="38"/>
  <c r="B22" i="38"/>
  <c r="A22" i="38"/>
  <c r="N21" i="38"/>
  <c r="G21" i="38"/>
  <c r="E21" i="38"/>
  <c r="D21" i="38"/>
  <c r="B21" i="38"/>
  <c r="A21" i="38"/>
  <c r="N20" i="38"/>
  <c r="G20" i="38"/>
  <c r="E20" i="38"/>
  <c r="D20" i="38"/>
  <c r="B20" i="38"/>
  <c r="A20" i="38"/>
  <c r="N19" i="38"/>
  <c r="G19" i="38"/>
  <c r="E19" i="38"/>
  <c r="D19" i="38"/>
  <c r="B19" i="38"/>
  <c r="A19" i="38"/>
  <c r="N18" i="38"/>
  <c r="G18" i="38"/>
  <c r="E18" i="38"/>
  <c r="D18" i="38"/>
  <c r="B18" i="38"/>
  <c r="A18" i="38"/>
  <c r="N17" i="38"/>
  <c r="E17" i="38"/>
  <c r="D17" i="38"/>
  <c r="B17" i="38"/>
  <c r="A17" i="38"/>
  <c r="N16" i="38"/>
  <c r="E16" i="38"/>
  <c r="D16" i="38"/>
  <c r="B16" i="38"/>
  <c r="A16" i="38"/>
  <c r="N15" i="38"/>
  <c r="E15" i="38"/>
  <c r="D15" i="38"/>
  <c r="B15" i="38"/>
  <c r="A15" i="38"/>
  <c r="F10" i="38"/>
  <c r="B10" i="38"/>
  <c r="F9" i="38"/>
  <c r="B7" i="38"/>
  <c r="L51" i="38"/>
  <c r="R50" i="39"/>
  <c r="Q50" i="39"/>
  <c r="T48" i="39"/>
  <c r="R48" i="39"/>
  <c r="Q48" i="39"/>
  <c r="P48" i="39"/>
  <c r="O48" i="39"/>
  <c r="M48" i="39"/>
  <c r="L48" i="39"/>
  <c r="J48" i="39"/>
  <c r="H48" i="39"/>
  <c r="G48" i="39"/>
  <c r="T47" i="39"/>
  <c r="R47" i="39"/>
  <c r="Q47" i="39"/>
  <c r="P47" i="39"/>
  <c r="O47" i="39"/>
  <c r="M47" i="39"/>
  <c r="L47" i="39"/>
  <c r="J47" i="39"/>
  <c r="H47" i="39"/>
  <c r="G47" i="39"/>
  <c r="T46" i="39"/>
  <c r="R46" i="39"/>
  <c r="Q46" i="39"/>
  <c r="P46" i="39"/>
  <c r="O46" i="39"/>
  <c r="M46" i="39"/>
  <c r="L46" i="39"/>
  <c r="J46" i="39"/>
  <c r="H46" i="39"/>
  <c r="G46" i="39"/>
  <c r="T45" i="39"/>
  <c r="P45" i="39"/>
  <c r="O45" i="39"/>
  <c r="M45" i="39"/>
  <c r="L45" i="39"/>
  <c r="J45" i="39"/>
  <c r="H45" i="39"/>
  <c r="G45" i="39"/>
  <c r="T44" i="39"/>
  <c r="P44" i="39"/>
  <c r="O44" i="39"/>
  <c r="M44" i="39"/>
  <c r="L44" i="39"/>
  <c r="J44" i="39"/>
  <c r="H44" i="39"/>
  <c r="G44" i="39"/>
  <c r="G49" i="39" s="1"/>
  <c r="T35" i="39"/>
  <c r="R35" i="39"/>
  <c r="R35" i="38" s="1"/>
  <c r="Q35" i="39"/>
  <c r="Q35" i="38" s="1"/>
  <c r="P35" i="39"/>
  <c r="P35" i="38" s="1"/>
  <c r="O35" i="39"/>
  <c r="O35" i="38" s="1"/>
  <c r="M35" i="39"/>
  <c r="M35" i="38" s="1"/>
  <c r="L35" i="39"/>
  <c r="L35" i="38" s="1"/>
  <c r="J35" i="39"/>
  <c r="J35" i="38" s="1"/>
  <c r="H35" i="39"/>
  <c r="H35" i="38" s="1"/>
  <c r="G35" i="39"/>
  <c r="T34" i="39"/>
  <c r="R34" i="39"/>
  <c r="R34" i="38" s="1"/>
  <c r="Q34" i="39"/>
  <c r="Q34" i="38" s="1"/>
  <c r="P34" i="39"/>
  <c r="P34" i="38" s="1"/>
  <c r="O34" i="39"/>
  <c r="M34" i="39"/>
  <c r="M34" i="38" s="1"/>
  <c r="L34" i="39"/>
  <c r="L34" i="38" s="1"/>
  <c r="J34" i="39"/>
  <c r="J34" i="38" s="1"/>
  <c r="H34" i="39"/>
  <c r="H34" i="38" s="1"/>
  <c r="G34" i="39"/>
  <c r="T33" i="39"/>
  <c r="R33" i="39"/>
  <c r="R33" i="38" s="1"/>
  <c r="Q33" i="39"/>
  <c r="Q33" i="38" s="1"/>
  <c r="P33" i="39"/>
  <c r="P33" i="38" s="1"/>
  <c r="O33" i="39"/>
  <c r="O33" i="38" s="1"/>
  <c r="M33" i="39"/>
  <c r="M33" i="38" s="1"/>
  <c r="L33" i="39"/>
  <c r="L33" i="38" s="1"/>
  <c r="J33" i="39"/>
  <c r="J33" i="38" s="1"/>
  <c r="H33" i="39"/>
  <c r="H33" i="38" s="1"/>
  <c r="G33" i="39"/>
  <c r="T32" i="39"/>
  <c r="R32" i="39"/>
  <c r="R32" i="38" s="1"/>
  <c r="Q32" i="39"/>
  <c r="Q32" i="38" s="1"/>
  <c r="P32" i="39"/>
  <c r="P32" i="38" s="1"/>
  <c r="O32" i="39"/>
  <c r="M32" i="39"/>
  <c r="M32" i="38" s="1"/>
  <c r="L32" i="39"/>
  <c r="L32" i="38" s="1"/>
  <c r="J32" i="39"/>
  <c r="H32" i="39"/>
  <c r="H32" i="38" s="1"/>
  <c r="G32" i="39"/>
  <c r="T31" i="39"/>
  <c r="R31" i="39"/>
  <c r="R31" i="38" s="1"/>
  <c r="Q31" i="39"/>
  <c r="Q31" i="38" s="1"/>
  <c r="P31" i="39"/>
  <c r="P31" i="38" s="1"/>
  <c r="O31" i="39"/>
  <c r="O31" i="38" s="1"/>
  <c r="M31" i="39"/>
  <c r="M31" i="38" s="1"/>
  <c r="L31" i="39"/>
  <c r="L31" i="38" s="1"/>
  <c r="J31" i="39"/>
  <c r="J31" i="38" s="1"/>
  <c r="H31" i="39"/>
  <c r="G31" i="39"/>
  <c r="T30" i="39"/>
  <c r="R30" i="39"/>
  <c r="R30" i="38" s="1"/>
  <c r="Q30" i="39"/>
  <c r="Q30" i="38" s="1"/>
  <c r="P30" i="39"/>
  <c r="P30" i="38" s="1"/>
  <c r="O30" i="39"/>
  <c r="M30" i="39"/>
  <c r="M30" i="38" s="1"/>
  <c r="L30" i="39"/>
  <c r="L30" i="38" s="1"/>
  <c r="J30" i="39"/>
  <c r="J30" i="38" s="1"/>
  <c r="H30" i="39"/>
  <c r="H30" i="38" s="1"/>
  <c r="G30" i="39"/>
  <c r="T29" i="39"/>
  <c r="R29" i="39"/>
  <c r="R29" i="38" s="1"/>
  <c r="Q29" i="39"/>
  <c r="Q29" i="38" s="1"/>
  <c r="P29" i="39"/>
  <c r="P36" i="39" s="1"/>
  <c r="O29" i="39"/>
  <c r="O36" i="39" s="1"/>
  <c r="Q36" i="39" s="1"/>
  <c r="M29" i="39"/>
  <c r="M36" i="39" s="1"/>
  <c r="L29" i="39"/>
  <c r="L29" i="38" s="1"/>
  <c r="J29" i="39"/>
  <c r="J29" i="38" s="1"/>
  <c r="H29" i="39"/>
  <c r="H29" i="38" s="1"/>
  <c r="G29" i="39"/>
  <c r="G36" i="39" s="1"/>
  <c r="T24" i="39"/>
  <c r="R24" i="39"/>
  <c r="R24" i="38" s="1"/>
  <c r="Q24" i="39"/>
  <c r="Q24" i="38" s="1"/>
  <c r="P24" i="39"/>
  <c r="P24" i="38" s="1"/>
  <c r="O24" i="39"/>
  <c r="O24" i="38" s="1"/>
  <c r="M24" i="39"/>
  <c r="M24" i="38" s="1"/>
  <c r="L24" i="39"/>
  <c r="L24" i="38" s="1"/>
  <c r="K24" i="39"/>
  <c r="K24" i="38" s="1"/>
  <c r="J24" i="39"/>
  <c r="J24" i="38" s="1"/>
  <c r="I24" i="39"/>
  <c r="I24" i="38" s="1"/>
  <c r="H24" i="39"/>
  <c r="H24" i="38" s="1"/>
  <c r="G24" i="39"/>
  <c r="T23" i="39"/>
  <c r="R23" i="39"/>
  <c r="R23" i="38" s="1"/>
  <c r="Q23" i="39"/>
  <c r="Q23" i="38" s="1"/>
  <c r="P23" i="39"/>
  <c r="P23" i="38" s="1"/>
  <c r="O23" i="39"/>
  <c r="O23" i="38" s="1"/>
  <c r="M23" i="39"/>
  <c r="M23" i="38" s="1"/>
  <c r="L23" i="39"/>
  <c r="L23" i="38" s="1"/>
  <c r="K23" i="39"/>
  <c r="K23" i="38" s="1"/>
  <c r="J23" i="39"/>
  <c r="J23" i="38" s="1"/>
  <c r="I23" i="39"/>
  <c r="I23" i="38" s="1"/>
  <c r="H23" i="39"/>
  <c r="H23" i="38" s="1"/>
  <c r="G23" i="39"/>
  <c r="T22" i="39"/>
  <c r="R22" i="39"/>
  <c r="R22" i="38" s="1"/>
  <c r="Q22" i="39"/>
  <c r="Q22" i="38" s="1"/>
  <c r="P22" i="39"/>
  <c r="P22" i="38" s="1"/>
  <c r="O22" i="39"/>
  <c r="O22" i="38" s="1"/>
  <c r="M22" i="39"/>
  <c r="M22" i="38" s="1"/>
  <c r="L22" i="39"/>
  <c r="L22" i="38" s="1"/>
  <c r="K22" i="39"/>
  <c r="K22" i="38" s="1"/>
  <c r="J22" i="39"/>
  <c r="J22" i="38" s="1"/>
  <c r="I22" i="39"/>
  <c r="I22" i="38" s="1"/>
  <c r="H22" i="39"/>
  <c r="H22" i="38" s="1"/>
  <c r="G22" i="39"/>
  <c r="T21" i="39"/>
  <c r="R21" i="39"/>
  <c r="R21" i="38" s="1"/>
  <c r="Q21" i="39"/>
  <c r="Q21" i="38" s="1"/>
  <c r="P21" i="39"/>
  <c r="P21" i="38" s="1"/>
  <c r="O21" i="39"/>
  <c r="O21" i="38" s="1"/>
  <c r="M21" i="39"/>
  <c r="M21" i="38" s="1"/>
  <c r="L21" i="39"/>
  <c r="L21" i="38" s="1"/>
  <c r="K21" i="39"/>
  <c r="K21" i="38" s="1"/>
  <c r="J21" i="39"/>
  <c r="J21" i="38" s="1"/>
  <c r="I21" i="39"/>
  <c r="I21" i="38" s="1"/>
  <c r="H21" i="39"/>
  <c r="H21" i="38" s="1"/>
  <c r="G21" i="39"/>
  <c r="T20" i="39"/>
  <c r="R20" i="39"/>
  <c r="R20" i="38" s="1"/>
  <c r="Q20" i="39"/>
  <c r="Q20" i="38" s="1"/>
  <c r="P20" i="39"/>
  <c r="P20" i="38" s="1"/>
  <c r="O20" i="39"/>
  <c r="O20" i="38" s="1"/>
  <c r="M20" i="39"/>
  <c r="M20" i="38" s="1"/>
  <c r="L20" i="39"/>
  <c r="L20" i="38" s="1"/>
  <c r="K20" i="39"/>
  <c r="K20" i="38" s="1"/>
  <c r="J20" i="39"/>
  <c r="J20" i="38" s="1"/>
  <c r="I20" i="39"/>
  <c r="I20" i="38" s="1"/>
  <c r="H20" i="39"/>
  <c r="H20" i="38" s="1"/>
  <c r="G20" i="39"/>
  <c r="T19" i="39"/>
  <c r="R19" i="39"/>
  <c r="R19" i="38" s="1"/>
  <c r="Q19" i="39"/>
  <c r="Q19" i="38" s="1"/>
  <c r="P19" i="39"/>
  <c r="P19" i="38" s="1"/>
  <c r="O19" i="39"/>
  <c r="O19" i="38" s="1"/>
  <c r="M19" i="39"/>
  <c r="M19" i="38" s="1"/>
  <c r="L19" i="39"/>
  <c r="L19" i="38" s="1"/>
  <c r="K19" i="39"/>
  <c r="K19" i="38" s="1"/>
  <c r="J19" i="39"/>
  <c r="J19" i="38" s="1"/>
  <c r="I19" i="39"/>
  <c r="I19" i="38" s="1"/>
  <c r="H19" i="39"/>
  <c r="H19" i="38" s="1"/>
  <c r="G19" i="39"/>
  <c r="T18" i="39"/>
  <c r="R18" i="39"/>
  <c r="R18" i="38" s="1"/>
  <c r="Q18" i="39"/>
  <c r="Q18" i="38" s="1"/>
  <c r="P18" i="39"/>
  <c r="P18" i="38" s="1"/>
  <c r="O18" i="39"/>
  <c r="O18" i="38" s="1"/>
  <c r="M18" i="39"/>
  <c r="M18" i="38" s="1"/>
  <c r="L18" i="39"/>
  <c r="L18" i="38" s="1"/>
  <c r="K18" i="39"/>
  <c r="K18" i="38" s="1"/>
  <c r="J18" i="39"/>
  <c r="J18" i="38" s="1"/>
  <c r="I18" i="39"/>
  <c r="I18" i="38" s="1"/>
  <c r="H18" i="39"/>
  <c r="H18" i="38" s="1"/>
  <c r="G18" i="39"/>
  <c r="G17" i="39"/>
  <c r="H17" i="39" s="1"/>
  <c r="H17" i="38" s="1"/>
  <c r="K16" i="39"/>
  <c r="L16" i="39" s="1"/>
  <c r="L16" i="38" s="1"/>
  <c r="I16" i="39"/>
  <c r="I16" i="38" s="1"/>
  <c r="G16" i="39"/>
  <c r="H16" i="39" s="1"/>
  <c r="J16" i="39" s="1"/>
  <c r="M16" i="39" s="1"/>
  <c r="M16" i="38" s="1"/>
  <c r="G15" i="39"/>
  <c r="H15" i="39" s="1"/>
  <c r="H15" i="38" s="1"/>
  <c r="B9" i="39"/>
  <c r="A57" i="39" s="1"/>
  <c r="B8" i="39"/>
  <c r="D8" i="39" s="1"/>
  <c r="D7" i="39"/>
  <c r="B6" i="39"/>
  <c r="K17" i="39" s="1"/>
  <c r="L17" i="39" s="1"/>
  <c r="L17" i="38" s="1"/>
  <c r="L40" i="39"/>
  <c r="B3" i="39"/>
  <c r="B3" i="38" s="1"/>
  <c r="B1" i="39"/>
  <c r="B1" i="38" s="1"/>
  <c r="H36" i="39" l="1"/>
  <c r="O29" i="38"/>
  <c r="B9" i="38"/>
  <c r="P29" i="38"/>
  <c r="H31" i="38"/>
  <c r="L36" i="39"/>
  <c r="H49" i="39"/>
  <c r="M29" i="38"/>
  <c r="J36" i="39"/>
  <c r="R36" i="39" s="1"/>
  <c r="J32" i="38"/>
  <c r="B6" i="38"/>
  <c r="H16" i="38"/>
  <c r="J16" i="38"/>
  <c r="B8" i="38"/>
  <c r="G16" i="38"/>
  <c r="K17" i="38"/>
  <c r="G17" i="38"/>
  <c r="K16" i="38"/>
  <c r="G15" i="38"/>
  <c r="H25" i="39"/>
  <c r="O39" i="39"/>
  <c r="M40" i="39"/>
  <c r="O51" i="39"/>
  <c r="O15" i="39"/>
  <c r="O15" i="38" s="1"/>
  <c r="T16" i="39"/>
  <c r="O17" i="39"/>
  <c r="O17" i="38" s="1"/>
  <c r="P39" i="39"/>
  <c r="O40" i="39"/>
  <c r="G25" i="39"/>
  <c r="G39" i="39"/>
  <c r="G39" i="38" s="1"/>
  <c r="I15" i="39"/>
  <c r="I17" i="39"/>
  <c r="G40" i="39"/>
  <c r="G40" i="38" s="1"/>
  <c r="T15" i="39"/>
  <c r="O16" i="39"/>
  <c r="O16" i="38" s="1"/>
  <c r="T17" i="39"/>
  <c r="J39" i="39"/>
  <c r="J39" i="38" s="1"/>
  <c r="K15" i="39"/>
  <c r="L39" i="39"/>
  <c r="J40" i="39"/>
  <c r="J40" i="38" s="1"/>
  <c r="A56" i="39"/>
  <c r="P40" i="39"/>
  <c r="M39" i="39"/>
  <c r="J17" i="39" l="1"/>
  <c r="I17" i="38"/>
  <c r="L15" i="39"/>
  <c r="K15" i="38"/>
  <c r="J15" i="39"/>
  <c r="J15" i="38" s="1"/>
  <c r="I15" i="38"/>
  <c r="M15" i="39"/>
  <c r="R39" i="39"/>
  <c r="Q39" i="39"/>
  <c r="H39" i="39"/>
  <c r="H39" i="38" s="1"/>
  <c r="P16" i="39"/>
  <c r="R16" i="39"/>
  <c r="R16" i="38" s="1"/>
  <c r="H40" i="39"/>
  <c r="H40" i="38" s="1"/>
  <c r="Q40" i="39"/>
  <c r="R40" i="39"/>
  <c r="R17" i="39"/>
  <c r="R17" i="38" s="1"/>
  <c r="P17" i="39"/>
  <c r="G38" i="39"/>
  <c r="G38" i="38" s="1"/>
  <c r="O25" i="39"/>
  <c r="P15" i="39"/>
  <c r="P15" i="38" s="1"/>
  <c r="R15" i="39"/>
  <c r="R15" i="38" s="1"/>
  <c r="G41" i="39" l="1"/>
  <c r="G41" i="38" s="1"/>
  <c r="M17" i="39"/>
  <c r="M17" i="38" s="1"/>
  <c r="J17" i="38"/>
  <c r="J25" i="39"/>
  <c r="J38" i="39" s="1"/>
  <c r="Q17" i="39"/>
  <c r="Q17" i="38" s="1"/>
  <c r="P17" i="38"/>
  <c r="Q16" i="39"/>
  <c r="Q16" i="38" s="1"/>
  <c r="P16" i="38"/>
  <c r="M15" i="38"/>
  <c r="L25" i="39"/>
  <c r="L15" i="38"/>
  <c r="Q15" i="39"/>
  <c r="Q15" i="38" s="1"/>
  <c r="P25" i="39"/>
  <c r="O38" i="39"/>
  <c r="H38" i="39"/>
  <c r="R38" i="39"/>
  <c r="Q38" i="39"/>
  <c r="R25" i="39"/>
  <c r="G52" i="39" l="1"/>
  <c r="G56" i="39" s="1"/>
  <c r="G56" i="38" s="1"/>
  <c r="M25" i="39"/>
  <c r="M38" i="39" s="1"/>
  <c r="M38" i="38" s="1"/>
  <c r="L38" i="39"/>
  <c r="L38" i="38" s="1"/>
  <c r="J41" i="39"/>
  <c r="J38" i="38"/>
  <c r="H41" i="39"/>
  <c r="H38" i="38"/>
  <c r="O41" i="39"/>
  <c r="O52" i="39" s="1"/>
  <c r="O38" i="38"/>
  <c r="P38" i="39"/>
  <c r="Q25" i="39"/>
  <c r="G57" i="39" l="1"/>
  <c r="G57" i="38" s="1"/>
  <c r="M41" i="39"/>
  <c r="M52" i="39" s="1"/>
  <c r="M56" i="39" s="1"/>
  <c r="M56" i="38" s="1"/>
  <c r="L41" i="39"/>
  <c r="L52" i="39" s="1"/>
  <c r="L56" i="39" s="1"/>
  <c r="L56" i="38" s="1"/>
  <c r="P41" i="39"/>
  <c r="P52" i="39" s="1"/>
  <c r="P52" i="38" s="1"/>
  <c r="P38" i="38"/>
  <c r="H52" i="39"/>
  <c r="H41" i="38"/>
  <c r="J52" i="39"/>
  <c r="J41" i="38"/>
  <c r="Q41" i="39"/>
  <c r="O54" i="39"/>
  <c r="O54" i="38" s="1"/>
  <c r="O57" i="39"/>
  <c r="O57" i="38" s="1"/>
  <c r="O56" i="39"/>
  <c r="O56" i="38" s="1"/>
  <c r="Q52" i="39"/>
  <c r="Q52" i="38" s="1"/>
  <c r="L57" i="39" l="1"/>
  <c r="L57" i="38" s="1"/>
  <c r="G6" i="39"/>
  <c r="M57" i="39"/>
  <c r="M57" i="38" s="1"/>
  <c r="H57" i="39"/>
  <c r="H57" i="38" s="1"/>
  <c r="H56" i="39"/>
  <c r="H56" i="38" s="1"/>
  <c r="J57" i="39"/>
  <c r="J57" i="38" s="1"/>
  <c r="J56" i="39"/>
  <c r="J56" i="38" s="1"/>
  <c r="R52" i="39"/>
  <c r="R52" i="38" s="1"/>
  <c r="P54" i="39"/>
  <c r="R54" i="39"/>
  <c r="R54" i="38" s="1"/>
  <c r="P57" i="39"/>
  <c r="P56" i="39"/>
  <c r="Q57" i="39" l="1"/>
  <c r="Q57" i="38" s="1"/>
  <c r="P57" i="38"/>
  <c r="Q54" i="39"/>
  <c r="Q54" i="38" s="1"/>
  <c r="P54" i="38"/>
  <c r="Q56" i="39"/>
  <c r="Q56" i="38" s="1"/>
  <c r="P56" i="38"/>
  <c r="B1" i="31"/>
  <c r="B2" i="31"/>
  <c r="T23" i="38" l="1"/>
  <c r="L40" i="38"/>
  <c r="R50" i="38"/>
  <c r="Q50" i="38"/>
  <c r="T48" i="38"/>
  <c r="R48" i="38"/>
  <c r="Q48" i="38"/>
  <c r="P48" i="38"/>
  <c r="O48" i="38"/>
  <c r="M48" i="38"/>
  <c r="L48" i="38"/>
  <c r="J48" i="38"/>
  <c r="H48" i="38"/>
  <c r="G48" i="38"/>
  <c r="T47" i="38"/>
  <c r="R47" i="38"/>
  <c r="Q47" i="38"/>
  <c r="P47" i="38"/>
  <c r="O47" i="38"/>
  <c r="M47" i="38"/>
  <c r="L47" i="38"/>
  <c r="J47" i="38"/>
  <c r="H47" i="38"/>
  <c r="G47" i="38"/>
  <c r="T46" i="38"/>
  <c r="R46" i="38"/>
  <c r="Q46" i="38"/>
  <c r="P46" i="38"/>
  <c r="O46" i="38"/>
  <c r="M46" i="38"/>
  <c r="L46" i="38"/>
  <c r="J46" i="38"/>
  <c r="H46" i="38"/>
  <c r="G46" i="38"/>
  <c r="T45" i="38"/>
  <c r="P45" i="38"/>
  <c r="O45" i="38"/>
  <c r="M45" i="38"/>
  <c r="L45" i="38"/>
  <c r="J45" i="38"/>
  <c r="H45" i="38"/>
  <c r="G45" i="38"/>
  <c r="T44" i="38"/>
  <c r="P44" i="38"/>
  <c r="O44" i="38"/>
  <c r="M44" i="38"/>
  <c r="L44" i="38"/>
  <c r="J44" i="38"/>
  <c r="H44" i="38"/>
  <c r="G44" i="38"/>
  <c r="G49" i="38" s="1"/>
  <c r="T35" i="38"/>
  <c r="T34" i="38"/>
  <c r="T33" i="38"/>
  <c r="T32" i="38"/>
  <c r="T31" i="38"/>
  <c r="T30" i="38"/>
  <c r="T29" i="38"/>
  <c r="T24" i="38"/>
  <c r="T22" i="38"/>
  <c r="T21" i="38"/>
  <c r="T19" i="38"/>
  <c r="T17" i="38"/>
  <c r="B7" i="31"/>
  <c r="D8" i="38" s="1"/>
  <c r="O36" i="38" l="1"/>
  <c r="Q36" i="38" s="1"/>
  <c r="G36" i="38"/>
  <c r="T20" i="38"/>
  <c r="T18" i="38"/>
  <c r="T16" i="38"/>
  <c r="H49" i="38"/>
  <c r="J36" i="38"/>
  <c r="R36" i="38" s="1"/>
  <c r="D7" i="38"/>
  <c r="P40" i="38"/>
  <c r="O39" i="38"/>
  <c r="M40" i="38"/>
  <c r="O51" i="38"/>
  <c r="P39" i="38"/>
  <c r="O40" i="38"/>
  <c r="T15" i="38"/>
  <c r="L39" i="38"/>
  <c r="M39" i="38"/>
  <c r="Z31" i="32"/>
  <c r="Z30" i="32"/>
  <c r="Z29" i="32"/>
  <c r="Z28" i="32"/>
  <c r="Z27" i="32"/>
  <c r="Z26" i="32"/>
  <c r="Z25" i="32"/>
  <c r="Z24" i="32"/>
  <c r="V31" i="32"/>
  <c r="V30" i="32"/>
  <c r="V29" i="32"/>
  <c r="V28" i="32"/>
  <c r="T31" i="32"/>
  <c r="T30" i="32"/>
  <c r="T29" i="32"/>
  <c r="T28" i="32"/>
  <c r="T27" i="32"/>
  <c r="T26" i="32"/>
  <c r="T25" i="32"/>
  <c r="T24" i="32"/>
  <c r="R31" i="32"/>
  <c r="R30" i="32"/>
  <c r="R29" i="32"/>
  <c r="R28" i="32"/>
  <c r="R27" i="32"/>
  <c r="R26" i="32"/>
  <c r="R25" i="32"/>
  <c r="R24" i="32"/>
  <c r="P27" i="32"/>
  <c r="V27" i="32" s="1"/>
  <c r="P26" i="32"/>
  <c r="V26" i="32" s="1"/>
  <c r="P25" i="32"/>
  <c r="V25" i="32" s="1"/>
  <c r="P24" i="32"/>
  <c r="V24" i="32" s="1"/>
  <c r="N31" i="32"/>
  <c r="N30" i="32"/>
  <c r="N29" i="32"/>
  <c r="N28" i="32"/>
  <c r="N27" i="32"/>
  <c r="N26" i="32"/>
  <c r="N25" i="32"/>
  <c r="N24" i="32"/>
  <c r="L31" i="32"/>
  <c r="L30" i="32"/>
  <c r="L29" i="32"/>
  <c r="L28" i="32"/>
  <c r="L27" i="32"/>
  <c r="L26" i="32"/>
  <c r="L25" i="32"/>
  <c r="L24" i="32"/>
  <c r="P36" i="38" l="1"/>
  <c r="M36" i="38"/>
  <c r="L36" i="38"/>
  <c r="H36" i="38"/>
  <c r="G45" i="33"/>
  <c r="O45" i="33" s="1"/>
  <c r="H45" i="33" l="1"/>
  <c r="R45" i="33" s="1"/>
  <c r="B14" i="14" l="1"/>
  <c r="B11" i="39" s="1"/>
  <c r="B11" i="38" s="1"/>
  <c r="AK37" i="32" l="1"/>
  <c r="AK34" i="32"/>
  <c r="AK33" i="32"/>
  <c r="AK32" i="32"/>
  <c r="AK31" i="32"/>
  <c r="AK30" i="32"/>
  <c r="AK29" i="32"/>
  <c r="AK28" i="32"/>
  <c r="AK27" i="32"/>
  <c r="AK26" i="32"/>
  <c r="AK25" i="32"/>
  <c r="AK24" i="32"/>
  <c r="AC37" i="32"/>
  <c r="AC34" i="32"/>
  <c r="AC33" i="32"/>
  <c r="AC32" i="32"/>
  <c r="AC31" i="32"/>
  <c r="AC30" i="32"/>
  <c r="AC29" i="32"/>
  <c r="AC28" i="32"/>
  <c r="AC27" i="32"/>
  <c r="AC26" i="32"/>
  <c r="AC25" i="32"/>
  <c r="AC24" i="32"/>
  <c r="I35" i="32"/>
  <c r="I34" i="32"/>
  <c r="I33" i="32"/>
  <c r="I32" i="32"/>
  <c r="I31" i="32"/>
  <c r="K31" i="32"/>
  <c r="K27" i="32"/>
  <c r="AC4" i="32"/>
  <c r="AC5" i="32"/>
  <c r="AC6" i="32"/>
  <c r="AC7" i="32"/>
  <c r="AC8" i="32"/>
  <c r="AC9" i="32"/>
  <c r="AC10" i="32"/>
  <c r="AC11" i="32"/>
  <c r="AC12" i="32"/>
  <c r="AC13" i="32"/>
  <c r="AC14" i="32"/>
  <c r="AC15" i="32"/>
  <c r="AC16" i="32"/>
  <c r="AC19" i="32"/>
  <c r="AC21" i="32"/>
  <c r="AC3" i="32"/>
  <c r="K37" i="32"/>
  <c r="K36" i="32"/>
  <c r="K35" i="32"/>
  <c r="K34" i="32"/>
  <c r="K33" i="32"/>
  <c r="K32" i="32"/>
  <c r="K30" i="32"/>
  <c r="K29" i="32"/>
  <c r="K28" i="32"/>
  <c r="K26" i="32"/>
  <c r="K25" i="32"/>
  <c r="K24" i="32"/>
  <c r="K21" i="32"/>
  <c r="K19" i="32"/>
  <c r="K16" i="32"/>
  <c r="K15" i="32"/>
  <c r="K14" i="32"/>
  <c r="K13" i="32"/>
  <c r="K12" i="32"/>
  <c r="K11" i="32"/>
  <c r="K10" i="32"/>
  <c r="K9" i="32"/>
  <c r="K8" i="32"/>
  <c r="K7" i="32"/>
  <c r="K6" i="32"/>
  <c r="K5" i="32"/>
  <c r="K4" i="32"/>
  <c r="K3" i="32"/>
  <c r="I37" i="32"/>
  <c r="I36" i="32"/>
  <c r="I30" i="32"/>
  <c r="I29" i="32"/>
  <c r="I28" i="32"/>
  <c r="I26" i="32"/>
  <c r="I25" i="32"/>
  <c r="I24" i="32"/>
  <c r="I21" i="32"/>
  <c r="I19" i="32"/>
  <c r="I16" i="32"/>
  <c r="I15" i="32"/>
  <c r="I14" i="32"/>
  <c r="I13" i="32"/>
  <c r="I12" i="32"/>
  <c r="I11" i="32"/>
  <c r="I10" i="32"/>
  <c r="I9" i="32"/>
  <c r="I6" i="32"/>
  <c r="I8" i="32"/>
  <c r="I7" i="32"/>
  <c r="I5" i="32"/>
  <c r="I4" i="32"/>
  <c r="I3" i="32"/>
  <c r="B19" i="14" l="1"/>
  <c r="B8" i="30" l="1"/>
  <c r="B8" i="29"/>
  <c r="B8" i="28"/>
  <c r="G44" i="33" l="1"/>
  <c r="O44" i="33" s="1"/>
  <c r="G43" i="33"/>
  <c r="O43" i="33" s="1"/>
  <c r="G42" i="33"/>
  <c r="H42" i="33" s="1"/>
  <c r="R42" i="33" s="1"/>
  <c r="G41" i="33"/>
  <c r="H41" i="33" s="1"/>
  <c r="R41" i="33" s="1"/>
  <c r="G40" i="33"/>
  <c r="H40" i="33" s="1"/>
  <c r="R40" i="33" s="1"/>
  <c r="G39" i="33"/>
  <c r="O39" i="33" s="1"/>
  <c r="G38" i="33"/>
  <c r="H38" i="33" s="1"/>
  <c r="R38" i="33" s="1"/>
  <c r="G37" i="33"/>
  <c r="O37" i="33" s="1"/>
  <c r="G36" i="33"/>
  <c r="O36" i="33" s="1"/>
  <c r="G35" i="33"/>
  <c r="O35" i="33" s="1"/>
  <c r="G34" i="33"/>
  <c r="O34" i="33" s="1"/>
  <c r="G31" i="33"/>
  <c r="O31" i="33" s="1"/>
  <c r="J4" i="32"/>
  <c r="J5" i="32"/>
  <c r="J7" i="32"/>
  <c r="J8" i="32"/>
  <c r="J9" i="32"/>
  <c r="J10" i="32"/>
  <c r="J11" i="32"/>
  <c r="J12" i="32"/>
  <c r="J13" i="32"/>
  <c r="J14" i="32"/>
  <c r="J15" i="32"/>
  <c r="J16" i="32"/>
  <c r="J19" i="32"/>
  <c r="J21" i="32"/>
  <c r="J3" i="32"/>
  <c r="H34" i="33" l="1"/>
  <c r="R34" i="33" s="1"/>
  <c r="H37" i="33"/>
  <c r="R37" i="33" s="1"/>
  <c r="H35" i="33"/>
  <c r="R35" i="33" s="1"/>
  <c r="H44" i="33"/>
  <c r="R44" i="33" s="1"/>
  <c r="H43" i="33"/>
  <c r="R43" i="33" s="1"/>
  <c r="O42" i="33"/>
  <c r="O41" i="33"/>
  <c r="O40" i="33"/>
  <c r="H39" i="33"/>
  <c r="R39" i="33" s="1"/>
  <c r="O38" i="33"/>
  <c r="H36" i="33"/>
  <c r="R36" i="33" s="1"/>
  <c r="H31" i="33"/>
  <c r="R31" i="33" s="1"/>
  <c r="G34" i="14"/>
  <c r="B7" i="14" l="1"/>
  <c r="B55" i="16" l="1"/>
  <c r="L50" i="36" s="1"/>
  <c r="B48" i="16"/>
  <c r="L50" i="35" s="1"/>
  <c r="B41" i="16"/>
  <c r="L50" i="34" s="1"/>
  <c r="R53" i="36" l="1"/>
  <c r="R49" i="36"/>
  <c r="Q49" i="36"/>
  <c r="T47" i="36"/>
  <c r="R47" i="36"/>
  <c r="Q47" i="36"/>
  <c r="P47" i="36"/>
  <c r="O47" i="36"/>
  <c r="M47" i="36"/>
  <c r="L47" i="36"/>
  <c r="J47" i="36"/>
  <c r="H47" i="36"/>
  <c r="G47" i="36"/>
  <c r="T46" i="36"/>
  <c r="R46" i="36"/>
  <c r="Q46" i="36"/>
  <c r="P46" i="36"/>
  <c r="O46" i="36"/>
  <c r="M46" i="36"/>
  <c r="L46" i="36"/>
  <c r="J46" i="36"/>
  <c r="H46" i="36"/>
  <c r="G46" i="36"/>
  <c r="T45" i="36"/>
  <c r="R45" i="36"/>
  <c r="Q45" i="36"/>
  <c r="P45" i="36"/>
  <c r="O45" i="36"/>
  <c r="M45" i="36"/>
  <c r="L45" i="36"/>
  <c r="J45" i="36"/>
  <c r="H45" i="36"/>
  <c r="G45" i="36"/>
  <c r="T44" i="36"/>
  <c r="P44" i="36"/>
  <c r="O44" i="36"/>
  <c r="M44" i="36"/>
  <c r="L44" i="36"/>
  <c r="J44" i="36"/>
  <c r="H44" i="36"/>
  <c r="G44" i="36"/>
  <c r="T43" i="36"/>
  <c r="P43" i="36"/>
  <c r="O43" i="36"/>
  <c r="M43" i="36"/>
  <c r="L43" i="36"/>
  <c r="J43" i="36"/>
  <c r="H43" i="36"/>
  <c r="G43" i="36"/>
  <c r="G48" i="36" s="1"/>
  <c r="T34" i="36"/>
  <c r="R34" i="36"/>
  <c r="Q34" i="36"/>
  <c r="P34" i="36"/>
  <c r="O34" i="36"/>
  <c r="M34" i="36"/>
  <c r="L34" i="36"/>
  <c r="J34" i="36"/>
  <c r="H34" i="36"/>
  <c r="G34" i="36"/>
  <c r="T33" i="36"/>
  <c r="R33" i="36"/>
  <c r="Q33" i="36"/>
  <c r="P33" i="36"/>
  <c r="O33" i="36"/>
  <c r="M33" i="36"/>
  <c r="L33" i="36"/>
  <c r="J33" i="36"/>
  <c r="H33" i="36"/>
  <c r="G33" i="36"/>
  <c r="T32" i="36"/>
  <c r="R32" i="36"/>
  <c r="Q32" i="36"/>
  <c r="P32" i="36"/>
  <c r="O32" i="36"/>
  <c r="M32" i="36"/>
  <c r="L32" i="36"/>
  <c r="J32" i="36"/>
  <c r="H32" i="36"/>
  <c r="G32" i="36"/>
  <c r="T31" i="36"/>
  <c r="R31" i="36"/>
  <c r="Q31" i="36"/>
  <c r="P31" i="36"/>
  <c r="O31" i="36"/>
  <c r="M31" i="36"/>
  <c r="L31" i="36"/>
  <c r="J31" i="36"/>
  <c r="H31" i="36"/>
  <c r="G31" i="36"/>
  <c r="T30" i="36"/>
  <c r="R30" i="36"/>
  <c r="Q30" i="36"/>
  <c r="P30" i="36"/>
  <c r="O30" i="36"/>
  <c r="M30" i="36"/>
  <c r="L30" i="36"/>
  <c r="J30" i="36"/>
  <c r="H30" i="36"/>
  <c r="G30" i="36"/>
  <c r="T29" i="36"/>
  <c r="R29" i="36"/>
  <c r="Q29" i="36"/>
  <c r="P29" i="36"/>
  <c r="O29" i="36"/>
  <c r="M29" i="36"/>
  <c r="L29" i="36"/>
  <c r="J29" i="36"/>
  <c r="H29" i="36"/>
  <c r="G29" i="36"/>
  <c r="T28" i="36"/>
  <c r="R28" i="36"/>
  <c r="Q28" i="36"/>
  <c r="P28" i="36"/>
  <c r="O28" i="36"/>
  <c r="M28" i="36"/>
  <c r="L28" i="36"/>
  <c r="J28" i="36"/>
  <c r="H28" i="36"/>
  <c r="G28" i="36"/>
  <c r="T23" i="36"/>
  <c r="R23" i="36"/>
  <c r="Q23" i="36"/>
  <c r="P23" i="36"/>
  <c r="O23" i="36"/>
  <c r="M23" i="36"/>
  <c r="L23" i="36"/>
  <c r="K23" i="36"/>
  <c r="J23" i="36"/>
  <c r="I23" i="36"/>
  <c r="H23" i="36"/>
  <c r="G23" i="36"/>
  <c r="T22" i="36"/>
  <c r="R22" i="36"/>
  <c r="Q22" i="36"/>
  <c r="P22" i="36"/>
  <c r="O22" i="36"/>
  <c r="M22" i="36"/>
  <c r="L22" i="36"/>
  <c r="K22" i="36"/>
  <c r="J22" i="36"/>
  <c r="I22" i="36"/>
  <c r="H22" i="36"/>
  <c r="G22" i="36"/>
  <c r="T21" i="36"/>
  <c r="R21" i="36"/>
  <c r="Q21" i="36"/>
  <c r="P21" i="36"/>
  <c r="O21" i="36"/>
  <c r="M21" i="36"/>
  <c r="L21" i="36"/>
  <c r="K21" i="36"/>
  <c r="J21" i="36"/>
  <c r="I21" i="36"/>
  <c r="H21" i="36"/>
  <c r="G21" i="36"/>
  <c r="T20" i="36"/>
  <c r="R20" i="36"/>
  <c r="Q20" i="36"/>
  <c r="P20" i="36"/>
  <c r="O20" i="36"/>
  <c r="M20" i="36"/>
  <c r="L20" i="36"/>
  <c r="K20" i="36"/>
  <c r="J20" i="36"/>
  <c r="I20" i="36"/>
  <c r="H20" i="36"/>
  <c r="G20" i="36"/>
  <c r="T19" i="36"/>
  <c r="R19" i="36"/>
  <c r="Q19" i="36"/>
  <c r="P19" i="36"/>
  <c r="O19" i="36"/>
  <c r="M19" i="36"/>
  <c r="L19" i="36"/>
  <c r="K19" i="36"/>
  <c r="J19" i="36"/>
  <c r="I19" i="36"/>
  <c r="H19" i="36"/>
  <c r="G19" i="36"/>
  <c r="T18" i="36"/>
  <c r="R18" i="36"/>
  <c r="Q18" i="36"/>
  <c r="P18" i="36"/>
  <c r="O18" i="36"/>
  <c r="M18" i="36"/>
  <c r="L18" i="36"/>
  <c r="K18" i="36"/>
  <c r="J18" i="36"/>
  <c r="I18" i="36"/>
  <c r="H18" i="36"/>
  <c r="G18" i="36"/>
  <c r="T17" i="36"/>
  <c r="R17" i="36"/>
  <c r="Q17" i="36"/>
  <c r="P17" i="36"/>
  <c r="O17" i="36"/>
  <c r="M17" i="36"/>
  <c r="L17" i="36"/>
  <c r="K17" i="36"/>
  <c r="J17" i="36"/>
  <c r="I17" i="36"/>
  <c r="H17" i="36"/>
  <c r="G17" i="36"/>
  <c r="T16" i="36"/>
  <c r="R16" i="36"/>
  <c r="Q16" i="36"/>
  <c r="P16" i="36"/>
  <c r="O16" i="36"/>
  <c r="M16" i="36"/>
  <c r="L16" i="36"/>
  <c r="K16" i="36"/>
  <c r="J16" i="36"/>
  <c r="I16" i="36"/>
  <c r="H16" i="36"/>
  <c r="G16" i="36"/>
  <c r="T15" i="36"/>
  <c r="K15" i="36"/>
  <c r="L15" i="36" s="1"/>
  <c r="I15" i="36"/>
  <c r="G15" i="36"/>
  <c r="O15" i="36" s="1"/>
  <c r="G14" i="36"/>
  <c r="B8" i="36"/>
  <c r="A56" i="36" s="1"/>
  <c r="B7" i="36"/>
  <c r="D7" i="36" s="1"/>
  <c r="D6" i="36"/>
  <c r="B5" i="36"/>
  <c r="I14" i="36" s="1"/>
  <c r="B4" i="36"/>
  <c r="B2" i="36"/>
  <c r="B1" i="36"/>
  <c r="R53" i="35"/>
  <c r="R49" i="35"/>
  <c r="Q49" i="35"/>
  <c r="T47" i="35"/>
  <c r="R47" i="35"/>
  <c r="Q47" i="35"/>
  <c r="P47" i="35"/>
  <c r="O47" i="35"/>
  <c r="M47" i="35"/>
  <c r="L47" i="35"/>
  <c r="J47" i="35"/>
  <c r="H47" i="35"/>
  <c r="G47" i="35"/>
  <c r="T46" i="35"/>
  <c r="R46" i="35"/>
  <c r="Q46" i="35"/>
  <c r="P46" i="35"/>
  <c r="O46" i="35"/>
  <c r="M46" i="35"/>
  <c r="L46" i="35"/>
  <c r="J46" i="35"/>
  <c r="H46" i="35"/>
  <c r="G46" i="35"/>
  <c r="T45" i="35"/>
  <c r="R45" i="35"/>
  <c r="Q45" i="35"/>
  <c r="P45" i="35"/>
  <c r="O45" i="35"/>
  <c r="M45" i="35"/>
  <c r="L45" i="35"/>
  <c r="J45" i="35"/>
  <c r="H45" i="35"/>
  <c r="G45" i="35"/>
  <c r="T44" i="35"/>
  <c r="P44" i="35"/>
  <c r="O44" i="35"/>
  <c r="M44" i="35"/>
  <c r="L44" i="35"/>
  <c r="J44" i="35"/>
  <c r="H44" i="35"/>
  <c r="G44" i="35"/>
  <c r="T43" i="35"/>
  <c r="P43" i="35"/>
  <c r="O43" i="35"/>
  <c r="M43" i="35"/>
  <c r="L43" i="35"/>
  <c r="J43" i="35"/>
  <c r="H43" i="35"/>
  <c r="G43" i="35"/>
  <c r="G48" i="35" s="1"/>
  <c r="T34" i="35"/>
  <c r="R34" i="35"/>
  <c r="Q34" i="35"/>
  <c r="P34" i="35"/>
  <c r="O34" i="35"/>
  <c r="M34" i="35"/>
  <c r="L34" i="35"/>
  <c r="J34" i="35"/>
  <c r="H34" i="35"/>
  <c r="G34" i="35"/>
  <c r="T33" i="35"/>
  <c r="R33" i="35"/>
  <c r="Q33" i="35"/>
  <c r="P33" i="35"/>
  <c r="O33" i="35"/>
  <c r="M33" i="35"/>
  <c r="L33" i="35"/>
  <c r="J33" i="35"/>
  <c r="H33" i="35"/>
  <c r="G33" i="35"/>
  <c r="T32" i="35"/>
  <c r="R32" i="35"/>
  <c r="Q32" i="35"/>
  <c r="P32" i="35"/>
  <c r="O32" i="35"/>
  <c r="M32" i="35"/>
  <c r="L32" i="35"/>
  <c r="J32" i="35"/>
  <c r="H32" i="35"/>
  <c r="G32" i="35"/>
  <c r="T31" i="35"/>
  <c r="R31" i="35"/>
  <c r="Q31" i="35"/>
  <c r="P31" i="35"/>
  <c r="O31" i="35"/>
  <c r="M31" i="35"/>
  <c r="L31" i="35"/>
  <c r="J31" i="35"/>
  <c r="H31" i="35"/>
  <c r="G31" i="35"/>
  <c r="T30" i="35"/>
  <c r="R30" i="35"/>
  <c r="Q30" i="35"/>
  <c r="P30" i="35"/>
  <c r="O30" i="35"/>
  <c r="M30" i="35"/>
  <c r="L30" i="35"/>
  <c r="J30" i="35"/>
  <c r="H30" i="35"/>
  <c r="G30" i="35"/>
  <c r="T29" i="35"/>
  <c r="R29" i="35"/>
  <c r="Q29" i="35"/>
  <c r="P29" i="35"/>
  <c r="O29" i="35"/>
  <c r="M29" i="35"/>
  <c r="L29" i="35"/>
  <c r="J29" i="35"/>
  <c r="H29" i="35"/>
  <c r="G29" i="35"/>
  <c r="T28" i="35"/>
  <c r="R28" i="35"/>
  <c r="Q28" i="35"/>
  <c r="P28" i="35"/>
  <c r="P35" i="35" s="1"/>
  <c r="O28" i="35"/>
  <c r="M28" i="35"/>
  <c r="L28" i="35"/>
  <c r="J28" i="35"/>
  <c r="H28" i="35"/>
  <c r="G28" i="35"/>
  <c r="T23" i="35"/>
  <c r="R23" i="35"/>
  <c r="Q23" i="35"/>
  <c r="P23" i="35"/>
  <c r="O23" i="35"/>
  <c r="M23" i="35"/>
  <c r="L23" i="35"/>
  <c r="K23" i="35"/>
  <c r="J23" i="35"/>
  <c r="I23" i="35"/>
  <c r="H23" i="35"/>
  <c r="G23" i="35"/>
  <c r="T22" i="35"/>
  <c r="R22" i="35"/>
  <c r="Q22" i="35"/>
  <c r="P22" i="35"/>
  <c r="O22" i="35"/>
  <c r="M22" i="35"/>
  <c r="L22" i="35"/>
  <c r="K22" i="35"/>
  <c r="J22" i="35"/>
  <c r="I22" i="35"/>
  <c r="H22" i="35"/>
  <c r="G22" i="35"/>
  <c r="T21" i="35"/>
  <c r="R21" i="35"/>
  <c r="Q21" i="35"/>
  <c r="P21" i="35"/>
  <c r="O21" i="35"/>
  <c r="M21" i="35"/>
  <c r="L21" i="35"/>
  <c r="K21" i="35"/>
  <c r="J21" i="35"/>
  <c r="I21" i="35"/>
  <c r="H21" i="35"/>
  <c r="G21" i="35"/>
  <c r="T20" i="35"/>
  <c r="K20" i="35"/>
  <c r="I20" i="35"/>
  <c r="G20" i="35"/>
  <c r="H20" i="35" s="1"/>
  <c r="T19" i="35"/>
  <c r="K19" i="35"/>
  <c r="I19" i="35"/>
  <c r="G19" i="35"/>
  <c r="H19" i="35" s="1"/>
  <c r="T18" i="35"/>
  <c r="K18" i="35"/>
  <c r="I18" i="35"/>
  <c r="G18" i="35"/>
  <c r="H18" i="35" s="1"/>
  <c r="T17" i="35"/>
  <c r="K17" i="35"/>
  <c r="I17" i="35"/>
  <c r="G17" i="35"/>
  <c r="H17" i="35" s="1"/>
  <c r="T16" i="35"/>
  <c r="K16" i="35"/>
  <c r="I16" i="35"/>
  <c r="G16" i="35"/>
  <c r="H16" i="35" s="1"/>
  <c r="T15" i="35"/>
  <c r="K15" i="35"/>
  <c r="I15" i="35"/>
  <c r="G15" i="35"/>
  <c r="H15" i="35" s="1"/>
  <c r="G14" i="35"/>
  <c r="B8" i="35"/>
  <c r="A56" i="35" s="1"/>
  <c r="B7" i="35"/>
  <c r="D7" i="35" s="1"/>
  <c r="D6" i="35"/>
  <c r="B5" i="35"/>
  <c r="I14" i="35" s="1"/>
  <c r="B4" i="35"/>
  <c r="B2" i="35"/>
  <c r="B1" i="35"/>
  <c r="R49" i="34"/>
  <c r="Q49" i="34"/>
  <c r="T47" i="34"/>
  <c r="R47" i="34"/>
  <c r="Q47" i="34"/>
  <c r="P47" i="34"/>
  <c r="O47" i="34"/>
  <c r="M47" i="34"/>
  <c r="L47" i="34"/>
  <c r="J47" i="34"/>
  <c r="H47" i="34"/>
  <c r="G47" i="34"/>
  <c r="T46" i="34"/>
  <c r="R46" i="34"/>
  <c r="Q46" i="34"/>
  <c r="P46" i="34"/>
  <c r="O46" i="34"/>
  <c r="M46" i="34"/>
  <c r="L46" i="34"/>
  <c r="J46" i="34"/>
  <c r="H46" i="34"/>
  <c r="G46" i="34"/>
  <c r="T45" i="34"/>
  <c r="R45" i="34"/>
  <c r="Q45" i="34"/>
  <c r="P45" i="34"/>
  <c r="O45" i="34"/>
  <c r="M45" i="34"/>
  <c r="L45" i="34"/>
  <c r="J45" i="34"/>
  <c r="H45" i="34"/>
  <c r="G45" i="34"/>
  <c r="T44" i="34"/>
  <c r="P44" i="34"/>
  <c r="O44" i="34"/>
  <c r="M44" i="34"/>
  <c r="L44" i="34"/>
  <c r="J44" i="34"/>
  <c r="H44" i="34"/>
  <c r="G44" i="34"/>
  <c r="T43" i="34"/>
  <c r="P43" i="34"/>
  <c r="O43" i="34"/>
  <c r="M43" i="34"/>
  <c r="L43" i="34"/>
  <c r="J43" i="34"/>
  <c r="H43" i="34"/>
  <c r="G43" i="34"/>
  <c r="T34" i="34"/>
  <c r="R34" i="34"/>
  <c r="Q34" i="34"/>
  <c r="P34" i="34"/>
  <c r="O34" i="34"/>
  <c r="M34" i="34"/>
  <c r="L34" i="34"/>
  <c r="J34" i="34"/>
  <c r="H34" i="34"/>
  <c r="G34" i="34"/>
  <c r="T33" i="34"/>
  <c r="R33" i="34"/>
  <c r="Q33" i="34"/>
  <c r="P33" i="34"/>
  <c r="O33" i="34"/>
  <c r="M33" i="34"/>
  <c r="L33" i="34"/>
  <c r="J33" i="34"/>
  <c r="H33" i="34"/>
  <c r="G33" i="34"/>
  <c r="T32" i="34"/>
  <c r="R32" i="34"/>
  <c r="Q32" i="34"/>
  <c r="P32" i="34"/>
  <c r="O32" i="34"/>
  <c r="M32" i="34"/>
  <c r="L32" i="34"/>
  <c r="J32" i="34"/>
  <c r="H32" i="34"/>
  <c r="G32" i="34"/>
  <c r="T31" i="34"/>
  <c r="R31" i="34"/>
  <c r="Q31" i="34"/>
  <c r="P31" i="34"/>
  <c r="O31" i="34"/>
  <c r="M31" i="34"/>
  <c r="L31" i="34"/>
  <c r="J31" i="34"/>
  <c r="H31" i="34"/>
  <c r="G31" i="34"/>
  <c r="T30" i="34"/>
  <c r="R30" i="34"/>
  <c r="Q30" i="34"/>
  <c r="P30" i="34"/>
  <c r="O30" i="34"/>
  <c r="M30" i="34"/>
  <c r="L30" i="34"/>
  <c r="J30" i="34"/>
  <c r="H30" i="34"/>
  <c r="G30" i="34"/>
  <c r="T29" i="34"/>
  <c r="R29" i="34"/>
  <c r="Q29" i="34"/>
  <c r="P29" i="34"/>
  <c r="O29" i="34"/>
  <c r="M29" i="34"/>
  <c r="L29" i="34"/>
  <c r="J29" i="34"/>
  <c r="H29" i="34"/>
  <c r="G29" i="34"/>
  <c r="T28" i="34"/>
  <c r="R28" i="34"/>
  <c r="Q28" i="34"/>
  <c r="P28" i="34"/>
  <c r="O28" i="34"/>
  <c r="M28" i="34"/>
  <c r="L28" i="34"/>
  <c r="J28" i="34"/>
  <c r="H28" i="34"/>
  <c r="G28" i="34"/>
  <c r="T23" i="34"/>
  <c r="R23" i="34"/>
  <c r="Q23" i="34"/>
  <c r="P23" i="34"/>
  <c r="O23" i="34"/>
  <c r="M23" i="34"/>
  <c r="L23" i="34"/>
  <c r="K23" i="34"/>
  <c r="J23" i="34"/>
  <c r="I23" i="34"/>
  <c r="H23" i="34"/>
  <c r="G23" i="34"/>
  <c r="T22" i="34"/>
  <c r="R22" i="34"/>
  <c r="Q22" i="34"/>
  <c r="P22" i="34"/>
  <c r="O22" i="34"/>
  <c r="M22" i="34"/>
  <c r="L22" i="34"/>
  <c r="K22" i="34"/>
  <c r="J22" i="34"/>
  <c r="I22" i="34"/>
  <c r="H22" i="34"/>
  <c r="G22" i="34"/>
  <c r="T21" i="34"/>
  <c r="K21" i="34"/>
  <c r="L21" i="34" s="1"/>
  <c r="I21" i="34"/>
  <c r="G21" i="34"/>
  <c r="O21" i="34" s="1"/>
  <c r="T20" i="34"/>
  <c r="O20" i="34"/>
  <c r="K20" i="34"/>
  <c r="L20" i="34" s="1"/>
  <c r="I20" i="34"/>
  <c r="G20" i="34"/>
  <c r="H20" i="34" s="1"/>
  <c r="J20" i="34" s="1"/>
  <c r="M20" i="34" s="1"/>
  <c r="T19" i="34"/>
  <c r="O19" i="34"/>
  <c r="K19" i="34"/>
  <c r="L19" i="34" s="1"/>
  <c r="I19" i="34"/>
  <c r="G19" i="34"/>
  <c r="H19" i="34" s="1"/>
  <c r="J19" i="34" s="1"/>
  <c r="T18" i="34"/>
  <c r="O18" i="34"/>
  <c r="K18" i="34"/>
  <c r="L18" i="34" s="1"/>
  <c r="I18" i="34"/>
  <c r="H18" i="34"/>
  <c r="J18" i="34" s="1"/>
  <c r="M18" i="34" s="1"/>
  <c r="G18" i="34"/>
  <c r="T17" i="34"/>
  <c r="K17" i="34"/>
  <c r="L17" i="34" s="1"/>
  <c r="I17" i="34"/>
  <c r="G17" i="34"/>
  <c r="O17" i="34" s="1"/>
  <c r="G16" i="34"/>
  <c r="H16" i="34" s="1"/>
  <c r="G15" i="34"/>
  <c r="O15" i="34" s="1"/>
  <c r="G14" i="34"/>
  <c r="B8" i="34"/>
  <c r="A55" i="34" s="1"/>
  <c r="B7" i="34"/>
  <c r="D7" i="34" s="1"/>
  <c r="D6" i="34"/>
  <c r="B5" i="34"/>
  <c r="K14" i="34" s="1"/>
  <c r="B4" i="34"/>
  <c r="B2" i="34"/>
  <c r="B1" i="34"/>
  <c r="B10" i="34"/>
  <c r="J16" i="35" l="1"/>
  <c r="U16" i="35"/>
  <c r="J15" i="35"/>
  <c r="U15" i="35"/>
  <c r="L20" i="35"/>
  <c r="O17" i="35"/>
  <c r="L18" i="35"/>
  <c r="L19" i="35"/>
  <c r="L17" i="35"/>
  <c r="L16" i="35"/>
  <c r="U20" i="35"/>
  <c r="J20" i="35"/>
  <c r="M20" i="35" s="1"/>
  <c r="O20" i="35"/>
  <c r="U19" i="35"/>
  <c r="J19" i="35"/>
  <c r="O19" i="35"/>
  <c r="U18" i="35"/>
  <c r="J18" i="35"/>
  <c r="O18" i="35"/>
  <c r="U17" i="35"/>
  <c r="J17" i="35"/>
  <c r="M16" i="35"/>
  <c r="O16" i="35"/>
  <c r="G48" i="34"/>
  <c r="M35" i="35"/>
  <c r="O35" i="34"/>
  <c r="Q35" i="34" s="1"/>
  <c r="L35" i="34"/>
  <c r="H35" i="34"/>
  <c r="P21" i="34"/>
  <c r="Q21" i="34" s="1"/>
  <c r="H21" i="34"/>
  <c r="J21" i="34" s="1"/>
  <c r="M21" i="34" s="1"/>
  <c r="R20" i="34"/>
  <c r="P20" i="34"/>
  <c r="Q20" i="34" s="1"/>
  <c r="R19" i="34"/>
  <c r="M19" i="34"/>
  <c r="P19" i="34"/>
  <c r="Q19" i="34" s="1"/>
  <c r="R18" i="34"/>
  <c r="P18" i="34"/>
  <c r="Q18" i="34" s="1"/>
  <c r="P17" i="34"/>
  <c r="Q17" i="34" s="1"/>
  <c r="H17" i="34"/>
  <c r="J17" i="34" s="1"/>
  <c r="M17" i="34" s="1"/>
  <c r="P38" i="36"/>
  <c r="G35" i="36"/>
  <c r="J35" i="36"/>
  <c r="R35" i="36" s="1"/>
  <c r="G35" i="34"/>
  <c r="P35" i="34"/>
  <c r="M35" i="34"/>
  <c r="J35" i="34"/>
  <c r="R35" i="34" s="1"/>
  <c r="O35" i="35"/>
  <c r="Q35" i="35" s="1"/>
  <c r="L35" i="35"/>
  <c r="H35" i="36"/>
  <c r="H48" i="36"/>
  <c r="H48" i="34"/>
  <c r="G35" i="35"/>
  <c r="J35" i="35"/>
  <c r="R35" i="35" s="1"/>
  <c r="M35" i="36"/>
  <c r="H35" i="35"/>
  <c r="H48" i="35"/>
  <c r="O35" i="36"/>
  <c r="Q35" i="36" s="1"/>
  <c r="L35" i="36"/>
  <c r="P35" i="36"/>
  <c r="B10" i="36"/>
  <c r="B10" i="35"/>
  <c r="H15" i="36"/>
  <c r="J15" i="36" s="1"/>
  <c r="R15" i="36" s="1"/>
  <c r="G24" i="36"/>
  <c r="O14" i="36"/>
  <c r="O24" i="36" s="1"/>
  <c r="O37" i="36" s="1"/>
  <c r="H14" i="36"/>
  <c r="P15" i="36"/>
  <c r="Q15" i="36" s="1"/>
  <c r="G24" i="35"/>
  <c r="G39" i="35" s="1"/>
  <c r="L15" i="35"/>
  <c r="M15" i="35" s="1"/>
  <c r="O15" i="35"/>
  <c r="H14" i="35"/>
  <c r="J14" i="35" s="1"/>
  <c r="O14" i="35"/>
  <c r="I15" i="34"/>
  <c r="K16" i="34"/>
  <c r="L16" i="34" s="1"/>
  <c r="I16" i="34"/>
  <c r="J16" i="34" s="1"/>
  <c r="M16" i="34" s="1"/>
  <c r="T16" i="34"/>
  <c r="T15" i="34"/>
  <c r="G38" i="36"/>
  <c r="K15" i="34"/>
  <c r="L15" i="34" s="1"/>
  <c r="P15" i="34" s="1"/>
  <c r="Q15" i="34" s="1"/>
  <c r="H15" i="34"/>
  <c r="U15" i="34" s="1"/>
  <c r="U24" i="34" s="1"/>
  <c r="L14" i="34"/>
  <c r="A56" i="34"/>
  <c r="M38" i="34"/>
  <c r="J38" i="34"/>
  <c r="O50" i="36"/>
  <c r="O38" i="36"/>
  <c r="P38" i="34"/>
  <c r="O50" i="35"/>
  <c r="J38" i="36"/>
  <c r="G38" i="34"/>
  <c r="H38" i="34" s="1"/>
  <c r="L38" i="36"/>
  <c r="L38" i="34"/>
  <c r="O38" i="34"/>
  <c r="M38" i="36"/>
  <c r="O16" i="34"/>
  <c r="G24" i="34"/>
  <c r="G37" i="34" s="1"/>
  <c r="H37" i="34" s="1"/>
  <c r="T14" i="36"/>
  <c r="K14" i="36"/>
  <c r="L14" i="36" s="1"/>
  <c r="L24" i="36" s="1"/>
  <c r="L37" i="36" s="1"/>
  <c r="A55" i="36"/>
  <c r="T14" i="35"/>
  <c r="K14" i="35"/>
  <c r="L14" i="35" s="1"/>
  <c r="A55" i="35"/>
  <c r="T14" i="34"/>
  <c r="O50" i="34"/>
  <c r="H14" i="34"/>
  <c r="O14" i="34"/>
  <c r="I14" i="34"/>
  <c r="R15" i="35" l="1"/>
  <c r="G38" i="35"/>
  <c r="R38" i="35" s="1"/>
  <c r="M18" i="35"/>
  <c r="P17" i="35"/>
  <c r="Q17" i="35" s="1"/>
  <c r="U24" i="35"/>
  <c r="A20" i="14" s="1"/>
  <c r="B20" i="14" s="1"/>
  <c r="M19" i="35"/>
  <c r="P20" i="35"/>
  <c r="Q20" i="35" s="1"/>
  <c r="R20" i="35"/>
  <c r="P19" i="35"/>
  <c r="Q19" i="35" s="1"/>
  <c r="R19" i="35"/>
  <c r="P18" i="35"/>
  <c r="Q18" i="35" s="1"/>
  <c r="R18" i="35"/>
  <c r="R17" i="35"/>
  <c r="M17" i="35"/>
  <c r="P16" i="35"/>
  <c r="Q16" i="35" s="1"/>
  <c r="R16" i="35"/>
  <c r="R21" i="34"/>
  <c r="R17" i="34"/>
  <c r="J15" i="34"/>
  <c r="R15" i="34" s="1"/>
  <c r="G37" i="36"/>
  <c r="H37" i="36" s="1"/>
  <c r="O24" i="35"/>
  <c r="R38" i="36"/>
  <c r="H38" i="36"/>
  <c r="M15" i="36"/>
  <c r="H24" i="36"/>
  <c r="G39" i="36"/>
  <c r="J14" i="36"/>
  <c r="M14" i="36" s="1"/>
  <c r="C25" i="14"/>
  <c r="O39" i="36"/>
  <c r="E25" i="14"/>
  <c r="H39" i="35"/>
  <c r="G37" i="35"/>
  <c r="L24" i="35"/>
  <c r="L38" i="35" s="1"/>
  <c r="P15" i="35"/>
  <c r="Q15" i="35" s="1"/>
  <c r="R14" i="35"/>
  <c r="H24" i="35"/>
  <c r="P14" i="36"/>
  <c r="Q14" i="36" s="1"/>
  <c r="L39" i="36"/>
  <c r="L40" i="36" s="1"/>
  <c r="L51" i="36" s="1"/>
  <c r="I25" i="14" s="1"/>
  <c r="Q38" i="36"/>
  <c r="L24" i="34"/>
  <c r="L37" i="34" s="1"/>
  <c r="G39" i="34"/>
  <c r="R16" i="34"/>
  <c r="P16" i="34"/>
  <c r="Q16" i="34" s="1"/>
  <c r="P14" i="35"/>
  <c r="J24" i="35"/>
  <c r="J38" i="35" s="1"/>
  <c r="M14" i="35"/>
  <c r="J14" i="34"/>
  <c r="R14" i="34" s="1"/>
  <c r="H24" i="34"/>
  <c r="R37" i="34"/>
  <c r="Q37" i="34"/>
  <c r="Q38" i="34"/>
  <c r="R38" i="34"/>
  <c r="P14" i="34"/>
  <c r="O24" i="34"/>
  <c r="O37" i="34" s="1"/>
  <c r="B4" i="28"/>
  <c r="Q38" i="35" l="1"/>
  <c r="H38" i="35"/>
  <c r="O37" i="35"/>
  <c r="O38" i="35"/>
  <c r="M24" i="35"/>
  <c r="M38" i="35" s="1"/>
  <c r="M15" i="34"/>
  <c r="Q37" i="36"/>
  <c r="M39" i="35"/>
  <c r="M37" i="35"/>
  <c r="L39" i="35"/>
  <c r="L37" i="35"/>
  <c r="R37" i="36"/>
  <c r="C24" i="14"/>
  <c r="O39" i="35"/>
  <c r="R24" i="35"/>
  <c r="G40" i="35"/>
  <c r="G51" i="35" s="1"/>
  <c r="G55" i="35" s="1"/>
  <c r="H37" i="35"/>
  <c r="H40" i="35" s="1"/>
  <c r="H51" i="35" s="1"/>
  <c r="O39" i="34"/>
  <c r="D23" i="14" s="1"/>
  <c r="C23" i="14"/>
  <c r="G40" i="36"/>
  <c r="G51" i="36" s="1"/>
  <c r="G55" i="36" s="1"/>
  <c r="H39" i="36"/>
  <c r="H40" i="36" s="1"/>
  <c r="H51" i="36" s="1"/>
  <c r="O40" i="36"/>
  <c r="O51" i="36" s="1"/>
  <c r="O53" i="36" s="1"/>
  <c r="G25" i="14" s="1"/>
  <c r="M24" i="36"/>
  <c r="J24" i="36"/>
  <c r="R24" i="36" s="1"/>
  <c r="R14" i="36"/>
  <c r="P24" i="36"/>
  <c r="P37" i="36" s="1"/>
  <c r="D25" i="14"/>
  <c r="J37" i="35"/>
  <c r="J39" i="35"/>
  <c r="R39" i="35" s="1"/>
  <c r="G40" i="34"/>
  <c r="G51" i="34" s="1"/>
  <c r="G56" i="34" s="1"/>
  <c r="H39" i="34"/>
  <c r="H40" i="34" s="1"/>
  <c r="H51" i="34" s="1"/>
  <c r="L39" i="34"/>
  <c r="L40" i="34" s="1"/>
  <c r="L51" i="34" s="1"/>
  <c r="I23" i="14" s="1"/>
  <c r="L56" i="36"/>
  <c r="L55" i="36"/>
  <c r="P24" i="35"/>
  <c r="Q14" i="35"/>
  <c r="J24" i="34"/>
  <c r="M14" i="34"/>
  <c r="P24" i="34"/>
  <c r="P37" i="34" s="1"/>
  <c r="Q14" i="34"/>
  <c r="G25" i="33"/>
  <c r="H25" i="33" s="1"/>
  <c r="R25" i="33" s="1"/>
  <c r="D24" i="14" l="1"/>
  <c r="R37" i="35"/>
  <c r="P37" i="35"/>
  <c r="Q37" i="35" s="1"/>
  <c r="P38" i="35"/>
  <c r="M24" i="34"/>
  <c r="M37" i="34" s="1"/>
  <c r="M40" i="35"/>
  <c r="M51" i="35" s="1"/>
  <c r="M55" i="35" s="1"/>
  <c r="L40" i="35"/>
  <c r="L51" i="35" s="1"/>
  <c r="L56" i="35" s="1"/>
  <c r="M39" i="36"/>
  <c r="M37" i="36"/>
  <c r="M39" i="34"/>
  <c r="G56" i="36"/>
  <c r="G56" i="35"/>
  <c r="J39" i="36"/>
  <c r="R39" i="36" s="1"/>
  <c r="B24" i="14"/>
  <c r="H55" i="35"/>
  <c r="H56" i="35"/>
  <c r="E24" i="14"/>
  <c r="O40" i="35"/>
  <c r="O51" i="35" s="1"/>
  <c r="O56" i="35" s="1"/>
  <c r="O40" i="34"/>
  <c r="O51" i="34" s="1"/>
  <c r="E23" i="14"/>
  <c r="H56" i="36"/>
  <c r="B25" i="14"/>
  <c r="L25" i="14" s="1"/>
  <c r="H55" i="36"/>
  <c r="O56" i="36"/>
  <c r="O55" i="36"/>
  <c r="J37" i="36"/>
  <c r="P39" i="36"/>
  <c r="Q39" i="36" s="1"/>
  <c r="Q24" i="36"/>
  <c r="J25" i="14"/>
  <c r="K25" i="14" s="1"/>
  <c r="H55" i="34"/>
  <c r="B23" i="14"/>
  <c r="P39" i="35"/>
  <c r="Q39" i="35" s="1"/>
  <c r="Q24" i="35"/>
  <c r="J40" i="35"/>
  <c r="J51" i="35" s="1"/>
  <c r="H56" i="34"/>
  <c r="G55" i="34"/>
  <c r="L55" i="34"/>
  <c r="L56" i="34"/>
  <c r="P39" i="34"/>
  <c r="Q39" i="34" s="1"/>
  <c r="Q24" i="34"/>
  <c r="J37" i="34"/>
  <c r="J39" i="34"/>
  <c r="R39" i="34" s="1"/>
  <c r="R24" i="34"/>
  <c r="P53" i="36"/>
  <c r="Q53" i="36" s="1"/>
  <c r="G5" i="36"/>
  <c r="O25" i="33"/>
  <c r="G26" i="33"/>
  <c r="H26" i="33" s="1"/>
  <c r="R26" i="33" s="1"/>
  <c r="G24" i="33"/>
  <c r="H24" i="33" s="1"/>
  <c r="R24" i="33" s="1"/>
  <c r="G23" i="33"/>
  <c r="H23" i="33" s="1"/>
  <c r="R23" i="33" s="1"/>
  <c r="G22" i="33"/>
  <c r="O22" i="33" s="1"/>
  <c r="G21" i="33"/>
  <c r="H21" i="33" s="1"/>
  <c r="R21" i="33" s="1"/>
  <c r="Q72" i="33"/>
  <c r="T70" i="33"/>
  <c r="Q70" i="33"/>
  <c r="P70" i="33"/>
  <c r="O70" i="33"/>
  <c r="M70" i="33"/>
  <c r="L70" i="33"/>
  <c r="J70" i="33"/>
  <c r="H70" i="33"/>
  <c r="H71" i="33" s="1"/>
  <c r="G70" i="33"/>
  <c r="T69" i="33"/>
  <c r="Q69" i="33"/>
  <c r="P69" i="33"/>
  <c r="O69" i="33"/>
  <c r="M69" i="33"/>
  <c r="L69" i="33"/>
  <c r="J69" i="33"/>
  <c r="H69" i="33"/>
  <c r="G69" i="33"/>
  <c r="T68" i="33"/>
  <c r="Q68" i="33"/>
  <c r="P68" i="33"/>
  <c r="O68" i="33"/>
  <c r="M68" i="33"/>
  <c r="L68" i="33"/>
  <c r="J68" i="33"/>
  <c r="H68" i="33"/>
  <c r="G68" i="33"/>
  <c r="T67" i="33"/>
  <c r="P67" i="33"/>
  <c r="O67" i="33"/>
  <c r="M67" i="33"/>
  <c r="L67" i="33"/>
  <c r="J67" i="33"/>
  <c r="H67" i="33"/>
  <c r="G67" i="33"/>
  <c r="T66" i="33"/>
  <c r="P66" i="33"/>
  <c r="O66" i="33"/>
  <c r="M66" i="33"/>
  <c r="L66" i="33"/>
  <c r="J66" i="33"/>
  <c r="H66" i="33"/>
  <c r="G66" i="33"/>
  <c r="T57" i="33"/>
  <c r="Q57" i="33"/>
  <c r="P57" i="33"/>
  <c r="O57" i="33"/>
  <c r="M57" i="33"/>
  <c r="L57" i="33"/>
  <c r="J57" i="33"/>
  <c r="H57" i="33"/>
  <c r="G57" i="33"/>
  <c r="T56" i="33"/>
  <c r="Q56" i="33"/>
  <c r="P56" i="33"/>
  <c r="O56" i="33"/>
  <c r="M56" i="33"/>
  <c r="L56" i="33"/>
  <c r="J56" i="33"/>
  <c r="H56" i="33"/>
  <c r="G56" i="33"/>
  <c r="T55" i="33"/>
  <c r="Q55" i="33"/>
  <c r="P55" i="33"/>
  <c r="O55" i="33"/>
  <c r="M55" i="33"/>
  <c r="L55" i="33"/>
  <c r="J55" i="33"/>
  <c r="H55" i="33"/>
  <c r="G55" i="33"/>
  <c r="T54" i="33"/>
  <c r="Q54" i="33"/>
  <c r="P54" i="33"/>
  <c r="O54" i="33"/>
  <c r="M54" i="33"/>
  <c r="L54" i="33"/>
  <c r="J54" i="33"/>
  <c r="H54" i="33"/>
  <c r="G54" i="33"/>
  <c r="T53" i="33"/>
  <c r="Q53" i="33"/>
  <c r="P53" i="33"/>
  <c r="O53" i="33"/>
  <c r="M53" i="33"/>
  <c r="L53" i="33"/>
  <c r="J53" i="33"/>
  <c r="H53" i="33"/>
  <c r="G53" i="33"/>
  <c r="T52" i="33"/>
  <c r="Q52" i="33"/>
  <c r="P52" i="33"/>
  <c r="O52" i="33"/>
  <c r="M52" i="33"/>
  <c r="L52" i="33"/>
  <c r="J52" i="33"/>
  <c r="H52" i="33"/>
  <c r="G52" i="33"/>
  <c r="T51" i="33"/>
  <c r="Q51" i="33"/>
  <c r="P51" i="33"/>
  <c r="O51" i="33"/>
  <c r="M51" i="33"/>
  <c r="L51" i="33"/>
  <c r="J51" i="33"/>
  <c r="H51" i="33"/>
  <c r="G51" i="33"/>
  <c r="G46" i="33"/>
  <c r="O46" i="33" s="1"/>
  <c r="G29" i="33"/>
  <c r="H29" i="33" s="1"/>
  <c r="R29" i="33" s="1"/>
  <c r="G20" i="33"/>
  <c r="O20" i="33" s="1"/>
  <c r="G19" i="33"/>
  <c r="O19" i="33" s="1"/>
  <c r="G18" i="33"/>
  <c r="O18" i="33" s="1"/>
  <c r="G17" i="33"/>
  <c r="H17" i="33" s="1"/>
  <c r="R17" i="33" s="1"/>
  <c r="G16" i="33"/>
  <c r="O16" i="33" s="1"/>
  <c r="G15" i="33"/>
  <c r="H15" i="33" s="1"/>
  <c r="R15" i="33" s="1"/>
  <c r="G14" i="33"/>
  <c r="O14" i="33" s="1"/>
  <c r="B8" i="33"/>
  <c r="A79" i="33" s="1"/>
  <c r="B7" i="33"/>
  <c r="D7" i="33" s="1"/>
  <c r="B6" i="33"/>
  <c r="D6" i="33" s="1"/>
  <c r="B5" i="33"/>
  <c r="B4" i="33"/>
  <c r="B2" i="33"/>
  <c r="B1" i="33"/>
  <c r="K30" i="33" l="1"/>
  <c r="L30" i="33" s="1"/>
  <c r="P30" i="33" s="1"/>
  <c r="Q30" i="33" s="1"/>
  <c r="I32" i="33"/>
  <c r="J32" i="33" s="1"/>
  <c r="K27" i="33"/>
  <c r="L27" i="33" s="1"/>
  <c r="P27" i="33" s="1"/>
  <c r="Q27" i="33" s="1"/>
  <c r="I27" i="33"/>
  <c r="J27" i="33" s="1"/>
  <c r="K32" i="33"/>
  <c r="L32" i="33" s="1"/>
  <c r="P32" i="33" s="1"/>
  <c r="Q32" i="33" s="1"/>
  <c r="I30" i="33"/>
  <c r="J30" i="33" s="1"/>
  <c r="M30" i="33" s="1"/>
  <c r="K33" i="33"/>
  <c r="L33" i="33" s="1"/>
  <c r="P33" i="33" s="1"/>
  <c r="Q33" i="33" s="1"/>
  <c r="I33" i="33"/>
  <c r="J33" i="33" s="1"/>
  <c r="M33" i="33" s="1"/>
  <c r="K28" i="33"/>
  <c r="L28" i="33" s="1"/>
  <c r="P28" i="33" s="1"/>
  <c r="Q28" i="33" s="1"/>
  <c r="I28" i="33"/>
  <c r="J28" i="33" s="1"/>
  <c r="T46" i="33"/>
  <c r="K45" i="33"/>
  <c r="L45" i="33" s="1"/>
  <c r="P45" i="33" s="1"/>
  <c r="Q45" i="33" s="1"/>
  <c r="I45" i="33"/>
  <c r="J45" i="33" s="1"/>
  <c r="H46" i="33"/>
  <c r="R46" i="33" s="1"/>
  <c r="I46" i="33"/>
  <c r="K46" i="33"/>
  <c r="L46" i="33" s="1"/>
  <c r="P46" i="33" s="1"/>
  <c r="Q46" i="33" s="1"/>
  <c r="O17" i="33"/>
  <c r="L55" i="35"/>
  <c r="I24" i="14"/>
  <c r="M56" i="35"/>
  <c r="M40" i="34"/>
  <c r="M51" i="34" s="1"/>
  <c r="M55" i="34" s="1"/>
  <c r="M40" i="36"/>
  <c r="M51" i="36" s="1"/>
  <c r="M55" i="36" s="1"/>
  <c r="G71" i="33"/>
  <c r="O15" i="33"/>
  <c r="M58" i="33"/>
  <c r="J58" i="33"/>
  <c r="H58" i="33"/>
  <c r="L58" i="33"/>
  <c r="K23" i="33"/>
  <c r="L23" i="33" s="1"/>
  <c r="I40" i="33"/>
  <c r="J40" i="33" s="1"/>
  <c r="K35" i="33"/>
  <c r="L35" i="33" s="1"/>
  <c r="P35" i="33" s="1"/>
  <c r="Q35" i="33" s="1"/>
  <c r="K36" i="33"/>
  <c r="L36" i="33" s="1"/>
  <c r="P36" i="33" s="1"/>
  <c r="Q36" i="33" s="1"/>
  <c r="I38" i="33"/>
  <c r="J38" i="33" s="1"/>
  <c r="K42" i="33"/>
  <c r="L42" i="33" s="1"/>
  <c r="P42" i="33" s="1"/>
  <c r="Q42" i="33" s="1"/>
  <c r="K37" i="33"/>
  <c r="L37" i="33" s="1"/>
  <c r="P37" i="33" s="1"/>
  <c r="Q37" i="33" s="1"/>
  <c r="I35" i="33"/>
  <c r="J35" i="33" s="1"/>
  <c r="K31" i="33"/>
  <c r="L31" i="33" s="1"/>
  <c r="P31" i="33" s="1"/>
  <c r="Q31" i="33" s="1"/>
  <c r="I41" i="33"/>
  <c r="J41" i="33" s="1"/>
  <c r="K34" i="33"/>
  <c r="L34" i="33" s="1"/>
  <c r="P34" i="33" s="1"/>
  <c r="Q34" i="33" s="1"/>
  <c r="I43" i="33"/>
  <c r="J43" i="33" s="1"/>
  <c r="K44" i="33"/>
  <c r="L44" i="33" s="1"/>
  <c r="P44" i="33" s="1"/>
  <c r="Q44" i="33" s="1"/>
  <c r="I42" i="33"/>
  <c r="J42" i="33" s="1"/>
  <c r="K39" i="33"/>
  <c r="L39" i="33" s="1"/>
  <c r="P39" i="33" s="1"/>
  <c r="Q39" i="33" s="1"/>
  <c r="I37" i="33"/>
  <c r="J37" i="33" s="1"/>
  <c r="I31" i="33"/>
  <c r="J31" i="33" s="1"/>
  <c r="I36" i="33"/>
  <c r="J36" i="33" s="1"/>
  <c r="K40" i="33"/>
  <c r="L40" i="33" s="1"/>
  <c r="P40" i="33" s="1"/>
  <c r="Q40" i="33" s="1"/>
  <c r="I44" i="33"/>
  <c r="J44" i="33" s="1"/>
  <c r="I39" i="33"/>
  <c r="J39" i="33" s="1"/>
  <c r="K41" i="33"/>
  <c r="L41" i="33" s="1"/>
  <c r="P41" i="33" s="1"/>
  <c r="Q41" i="33" s="1"/>
  <c r="K38" i="33"/>
  <c r="L38" i="33" s="1"/>
  <c r="P38" i="33" s="1"/>
  <c r="Q38" i="33" s="1"/>
  <c r="K43" i="33"/>
  <c r="L43" i="33" s="1"/>
  <c r="P43" i="33" s="1"/>
  <c r="Q43" i="33" s="1"/>
  <c r="I34" i="33"/>
  <c r="J34" i="33" s="1"/>
  <c r="P58" i="33"/>
  <c r="G58" i="33"/>
  <c r="O58" i="33"/>
  <c r="Q58" i="33" s="1"/>
  <c r="O23" i="33"/>
  <c r="J40" i="36"/>
  <c r="J51" i="36" s="1"/>
  <c r="H25" i="14" s="1"/>
  <c r="O53" i="35"/>
  <c r="G24" i="14" s="1"/>
  <c r="J24" i="14" s="1"/>
  <c r="K24" i="14" s="1"/>
  <c r="R51" i="35"/>
  <c r="O55" i="35"/>
  <c r="P40" i="36"/>
  <c r="P40" i="35"/>
  <c r="Q40" i="35" s="1"/>
  <c r="J55" i="35"/>
  <c r="J56" i="35"/>
  <c r="H24" i="14"/>
  <c r="J40" i="34"/>
  <c r="J51" i="34" s="1"/>
  <c r="P40" i="34"/>
  <c r="O56" i="34"/>
  <c r="O55" i="34"/>
  <c r="O53" i="34"/>
  <c r="K19" i="33"/>
  <c r="L19" i="33" s="1"/>
  <c r="P19" i="33" s="1"/>
  <c r="Q19" i="33" s="1"/>
  <c r="I17" i="33"/>
  <c r="J17" i="33" s="1"/>
  <c r="T24" i="33"/>
  <c r="K15" i="33"/>
  <c r="L15" i="33" s="1"/>
  <c r="T19" i="33"/>
  <c r="I16" i="33"/>
  <c r="T18" i="33"/>
  <c r="I29" i="33"/>
  <c r="J29" i="33" s="1"/>
  <c r="I21" i="33"/>
  <c r="J21" i="33" s="1"/>
  <c r="I14" i="33"/>
  <c r="K29" i="33"/>
  <c r="L29" i="33" s="1"/>
  <c r="K21" i="33"/>
  <c r="L21" i="33" s="1"/>
  <c r="K14" i="33"/>
  <c r="L14" i="33" s="1"/>
  <c r="P14" i="33" s="1"/>
  <c r="I19" i="33"/>
  <c r="T29" i="33"/>
  <c r="T21" i="33"/>
  <c r="K24" i="33"/>
  <c r="L24" i="33" s="1"/>
  <c r="K17" i="33"/>
  <c r="L17" i="33" s="1"/>
  <c r="T22" i="33"/>
  <c r="I26" i="33"/>
  <c r="J26" i="33" s="1"/>
  <c r="T15" i="33"/>
  <c r="T17" i="33"/>
  <c r="T20" i="33"/>
  <c r="I23" i="33"/>
  <c r="J23" i="33" s="1"/>
  <c r="K26" i="33"/>
  <c r="L26" i="33" s="1"/>
  <c r="T25" i="33"/>
  <c r="K25" i="33"/>
  <c r="L25" i="33" s="1"/>
  <c r="P25" i="33" s="1"/>
  <c r="Q25" i="33" s="1"/>
  <c r="I25" i="33"/>
  <c r="J25" i="33" s="1"/>
  <c r="T14" i="33"/>
  <c r="K16" i="33"/>
  <c r="L16" i="33" s="1"/>
  <c r="P16" i="33" s="1"/>
  <c r="Q16" i="33" s="1"/>
  <c r="T23" i="33"/>
  <c r="T26" i="33"/>
  <c r="I18" i="33"/>
  <c r="I22" i="33"/>
  <c r="T16" i="33"/>
  <c r="I20" i="33"/>
  <c r="I15" i="33"/>
  <c r="J15" i="33" s="1"/>
  <c r="K18" i="33"/>
  <c r="L18" i="33" s="1"/>
  <c r="P18" i="33" s="1"/>
  <c r="Q18" i="33" s="1"/>
  <c r="K20" i="33"/>
  <c r="L20" i="33" s="1"/>
  <c r="P20" i="33" s="1"/>
  <c r="Q20" i="33" s="1"/>
  <c r="K22" i="33"/>
  <c r="L22" i="33" s="1"/>
  <c r="P22" i="33" s="1"/>
  <c r="Q22" i="33" s="1"/>
  <c r="I24" i="33"/>
  <c r="J24" i="33" s="1"/>
  <c r="O29" i="33"/>
  <c r="O26" i="33"/>
  <c r="O24" i="33"/>
  <c r="H22" i="33"/>
  <c r="R22" i="33" s="1"/>
  <c r="O21" i="33"/>
  <c r="H20" i="33"/>
  <c r="R20" i="33" s="1"/>
  <c r="H19" i="33"/>
  <c r="R19" i="33" s="1"/>
  <c r="H18" i="33"/>
  <c r="R18" i="33" s="1"/>
  <c r="H16" i="33"/>
  <c r="R16" i="33" s="1"/>
  <c r="H14" i="33"/>
  <c r="R14" i="33" s="1"/>
  <c r="G47" i="33"/>
  <c r="M61" i="33"/>
  <c r="O61" i="33"/>
  <c r="O73" i="33"/>
  <c r="J61" i="33"/>
  <c r="O62" i="33"/>
  <c r="G61" i="33"/>
  <c r="G62" i="33"/>
  <c r="H62" i="33" s="1"/>
  <c r="L61" i="33"/>
  <c r="A78" i="33"/>
  <c r="P61" i="33"/>
  <c r="B7" i="30"/>
  <c r="B7" i="28"/>
  <c r="B7" i="23"/>
  <c r="B8" i="14" s="1"/>
  <c r="M28" i="33" l="1"/>
  <c r="M32" i="33"/>
  <c r="M27" i="33"/>
  <c r="R53" i="34"/>
  <c r="P15" i="33"/>
  <c r="Q15" i="33" s="1"/>
  <c r="M45" i="33"/>
  <c r="J46" i="33"/>
  <c r="M46" i="33" s="1"/>
  <c r="M56" i="34"/>
  <c r="M42" i="33"/>
  <c r="M37" i="33"/>
  <c r="M31" i="33"/>
  <c r="M35" i="33"/>
  <c r="M56" i="36"/>
  <c r="M34" i="33"/>
  <c r="M36" i="33"/>
  <c r="M41" i="33"/>
  <c r="M40" i="33"/>
  <c r="P23" i="33"/>
  <c r="Q23" i="33" s="1"/>
  <c r="M44" i="33"/>
  <c r="M43" i="33"/>
  <c r="P24" i="33"/>
  <c r="Q24" i="33" s="1"/>
  <c r="M39" i="33"/>
  <c r="M38" i="33"/>
  <c r="L24" i="14"/>
  <c r="G23" i="14"/>
  <c r="J56" i="36"/>
  <c r="J55" i="36"/>
  <c r="R51" i="36"/>
  <c r="G5" i="35"/>
  <c r="P53" i="35"/>
  <c r="Q53" i="35" s="1"/>
  <c r="P51" i="35"/>
  <c r="Q51" i="35" s="1"/>
  <c r="P51" i="36"/>
  <c r="Q51" i="36" s="1"/>
  <c r="Q40" i="36"/>
  <c r="J56" i="34"/>
  <c r="H23" i="14"/>
  <c r="P51" i="34"/>
  <c r="P55" i="34" s="1"/>
  <c r="Q55" i="34" s="1"/>
  <c r="Q40" i="34"/>
  <c r="R51" i="34"/>
  <c r="J55" i="34"/>
  <c r="P53" i="34"/>
  <c r="Q53" i="34" s="1"/>
  <c r="G5" i="34"/>
  <c r="M17" i="33"/>
  <c r="M29" i="33"/>
  <c r="M15" i="33"/>
  <c r="J20" i="33"/>
  <c r="J22" i="33"/>
  <c r="M22" i="33" s="1"/>
  <c r="J16" i="33"/>
  <c r="M26" i="33"/>
  <c r="M21" i="33"/>
  <c r="M23" i="33"/>
  <c r="P17" i="33"/>
  <c r="Q17" i="33" s="1"/>
  <c r="J14" i="33"/>
  <c r="J19" i="33"/>
  <c r="M19" i="33" s="1"/>
  <c r="J18" i="33"/>
  <c r="M25" i="33"/>
  <c r="M24" i="33"/>
  <c r="P29" i="33"/>
  <c r="Q29" i="33" s="1"/>
  <c r="P26" i="33"/>
  <c r="Q26" i="33" s="1"/>
  <c r="O47" i="33"/>
  <c r="O60" i="33" s="1"/>
  <c r="P21" i="33"/>
  <c r="Q21" i="33" s="1"/>
  <c r="H47" i="33"/>
  <c r="Q14" i="33"/>
  <c r="L47" i="33"/>
  <c r="G60" i="33"/>
  <c r="G63" i="33" s="1"/>
  <c r="G74" i="33" s="1"/>
  <c r="Q61" i="33"/>
  <c r="Q62" i="33"/>
  <c r="H61" i="33"/>
  <c r="B5" i="23"/>
  <c r="P55" i="36" l="1"/>
  <c r="Q55" i="36" s="1"/>
  <c r="P55" i="35"/>
  <c r="Q55" i="35" s="1"/>
  <c r="P56" i="35"/>
  <c r="Q56" i="35" s="1"/>
  <c r="P56" i="36"/>
  <c r="Q56" i="36" s="1"/>
  <c r="L60" i="33"/>
  <c r="L62" i="33"/>
  <c r="P56" i="34"/>
  <c r="Q56" i="34" s="1"/>
  <c r="Q51" i="34"/>
  <c r="M20" i="33"/>
  <c r="M14" i="33"/>
  <c r="P47" i="33"/>
  <c r="Q47" i="33" s="1"/>
  <c r="M16" i="33"/>
  <c r="J47" i="33"/>
  <c r="M18" i="33"/>
  <c r="O63" i="33"/>
  <c r="H60" i="33"/>
  <c r="H63" i="33" s="1"/>
  <c r="H74" i="33" s="1"/>
  <c r="Q60" i="33"/>
  <c r="G78" i="33"/>
  <c r="G79" i="33"/>
  <c r="B10" i="33"/>
  <c r="L63" i="33" l="1"/>
  <c r="O74" i="33"/>
  <c r="O79" i="33" s="1"/>
  <c r="P60" i="33"/>
  <c r="P62" i="33"/>
  <c r="J60" i="33"/>
  <c r="J62" i="33"/>
  <c r="M47" i="33"/>
  <c r="H79" i="33"/>
  <c r="H78" i="33"/>
  <c r="B4" i="30"/>
  <c r="O38" i="30" s="1"/>
  <c r="P38" i="28"/>
  <c r="O38" i="28"/>
  <c r="M38" i="28"/>
  <c r="L38" i="28"/>
  <c r="J38" i="28"/>
  <c r="G38" i="28"/>
  <c r="Q38" i="28" s="1"/>
  <c r="P38" i="23"/>
  <c r="O38" i="23"/>
  <c r="M38" i="23"/>
  <c r="L38" i="23"/>
  <c r="J38" i="23"/>
  <c r="G38" i="23"/>
  <c r="H38" i="23"/>
  <c r="J63" i="33" l="1"/>
  <c r="J74" i="33" s="1"/>
  <c r="J78" i="33" s="1"/>
  <c r="P63" i="33"/>
  <c r="O78" i="33"/>
  <c r="O76" i="33"/>
  <c r="G5" i="33" s="1"/>
  <c r="M60" i="33"/>
  <c r="M62" i="33"/>
  <c r="H38" i="28"/>
  <c r="P38" i="30"/>
  <c r="G38" i="30"/>
  <c r="L38" i="30"/>
  <c r="J38" i="30"/>
  <c r="M38" i="30"/>
  <c r="R38" i="28"/>
  <c r="P74" i="33" l="1"/>
  <c r="P78" i="33" s="1"/>
  <c r="Q78" i="33" s="1"/>
  <c r="Q63" i="33"/>
  <c r="J79" i="33"/>
  <c r="M63" i="33"/>
  <c r="M74" i="33" s="1"/>
  <c r="Q38" i="30"/>
  <c r="H38" i="30"/>
  <c r="R38" i="30"/>
  <c r="K23" i="31"/>
  <c r="K22" i="31"/>
  <c r="K21" i="31"/>
  <c r="K20" i="31"/>
  <c r="K19" i="31"/>
  <c r="K18" i="31"/>
  <c r="K17" i="31"/>
  <c r="K16" i="31"/>
  <c r="K15" i="31"/>
  <c r="I23" i="31"/>
  <c r="I22" i="31"/>
  <c r="I21" i="31"/>
  <c r="I20" i="31"/>
  <c r="I19" i="31"/>
  <c r="I18" i="31"/>
  <c r="I17" i="31"/>
  <c r="I16" i="31"/>
  <c r="I15" i="31"/>
  <c r="K23" i="30"/>
  <c r="K22" i="30"/>
  <c r="K21" i="30"/>
  <c r="K20" i="30"/>
  <c r="K19" i="30"/>
  <c r="K18" i="30"/>
  <c r="K17" i="30"/>
  <c r="K16" i="30"/>
  <c r="K15" i="30"/>
  <c r="I23" i="30"/>
  <c r="I22" i="30"/>
  <c r="I21" i="30"/>
  <c r="I20" i="30"/>
  <c r="I19" i="30"/>
  <c r="I18" i="30"/>
  <c r="I17" i="30"/>
  <c r="I16" i="30"/>
  <c r="I15" i="30"/>
  <c r="K23" i="29"/>
  <c r="K22" i="29"/>
  <c r="K21" i="29"/>
  <c r="K20" i="29"/>
  <c r="K19" i="29"/>
  <c r="K18" i="29"/>
  <c r="K17" i="29"/>
  <c r="K16" i="29"/>
  <c r="K15" i="29"/>
  <c r="I23" i="29"/>
  <c r="I22" i="29"/>
  <c r="I21" i="29"/>
  <c r="I20" i="29"/>
  <c r="I19" i="29"/>
  <c r="I18" i="29"/>
  <c r="I17" i="29"/>
  <c r="I16" i="29"/>
  <c r="I15" i="29"/>
  <c r="K23" i="28"/>
  <c r="K22" i="28"/>
  <c r="K21" i="28"/>
  <c r="K20" i="28"/>
  <c r="K19" i="28"/>
  <c r="K18" i="28"/>
  <c r="K17" i="28"/>
  <c r="K16" i="28"/>
  <c r="K15" i="28"/>
  <c r="I23" i="28"/>
  <c r="I22" i="28"/>
  <c r="I21" i="28"/>
  <c r="I20" i="28"/>
  <c r="I19" i="28"/>
  <c r="I18" i="28"/>
  <c r="I17" i="28"/>
  <c r="I16" i="28"/>
  <c r="I15" i="28"/>
  <c r="K23" i="23"/>
  <c r="K22" i="23"/>
  <c r="K21" i="23"/>
  <c r="K20" i="23"/>
  <c r="K19" i="23"/>
  <c r="K18" i="23"/>
  <c r="K17" i="23"/>
  <c r="K16" i="23"/>
  <c r="K15" i="23"/>
  <c r="I23" i="23"/>
  <c r="I22" i="23"/>
  <c r="I21" i="23"/>
  <c r="I20" i="23"/>
  <c r="I19" i="23"/>
  <c r="I18" i="23"/>
  <c r="I17" i="23"/>
  <c r="I16" i="23"/>
  <c r="I15" i="23"/>
  <c r="B10" i="31"/>
  <c r="O47" i="31"/>
  <c r="O46" i="31"/>
  <c r="O45" i="31"/>
  <c r="O44" i="31"/>
  <c r="O43" i="31"/>
  <c r="O47" i="30"/>
  <c r="O46" i="30"/>
  <c r="O45" i="30"/>
  <c r="O44" i="30"/>
  <c r="O43" i="30"/>
  <c r="O47" i="29"/>
  <c r="O46" i="29"/>
  <c r="O45" i="29"/>
  <c r="O44" i="29"/>
  <c r="O43" i="29"/>
  <c r="O47" i="28"/>
  <c r="O46" i="28"/>
  <c r="O45" i="28"/>
  <c r="O44" i="28"/>
  <c r="O43" i="28"/>
  <c r="B5" i="31"/>
  <c r="K14" i="31" s="1"/>
  <c r="B5" i="30"/>
  <c r="K14" i="30" s="1"/>
  <c r="B5" i="29"/>
  <c r="I14" i="29" s="1"/>
  <c r="B5" i="28"/>
  <c r="K14" i="28" s="1"/>
  <c r="K14" i="23"/>
  <c r="D6" i="14"/>
  <c r="B8" i="31"/>
  <c r="A57" i="38" l="1"/>
  <c r="A56" i="38"/>
  <c r="P79" i="33"/>
  <c r="Q79" i="33" s="1"/>
  <c r="Q74" i="33"/>
  <c r="M78" i="33"/>
  <c r="M79" i="33"/>
  <c r="I14" i="31"/>
  <c r="I14" i="28"/>
  <c r="I14" i="30"/>
  <c r="K14" i="29"/>
  <c r="I14" i="23"/>
  <c r="A56" i="31"/>
  <c r="A55" i="31"/>
  <c r="A56" i="30"/>
  <c r="A55" i="30"/>
  <c r="A56" i="29"/>
  <c r="A55" i="29"/>
  <c r="A56" i="28"/>
  <c r="A55" i="28"/>
  <c r="B10" i="23"/>
  <c r="B10" i="28"/>
  <c r="B10" i="29"/>
  <c r="B10" i="30"/>
  <c r="R49" i="31"/>
  <c r="Q49" i="31"/>
  <c r="T47" i="31"/>
  <c r="R47" i="31"/>
  <c r="Q47" i="31"/>
  <c r="P47" i="31"/>
  <c r="M47" i="31"/>
  <c r="L47" i="31"/>
  <c r="J47" i="31"/>
  <c r="H47" i="31"/>
  <c r="G47" i="31"/>
  <c r="T46" i="31"/>
  <c r="R46" i="31"/>
  <c r="Q46" i="31"/>
  <c r="P46" i="31"/>
  <c r="M46" i="31"/>
  <c r="L46" i="31"/>
  <c r="J46" i="31"/>
  <c r="H46" i="31"/>
  <c r="G46" i="31"/>
  <c r="T45" i="31"/>
  <c r="R45" i="31"/>
  <c r="Q45" i="31"/>
  <c r="P45" i="31"/>
  <c r="M45" i="31"/>
  <c r="L45" i="31"/>
  <c r="J45" i="31"/>
  <c r="H45" i="31"/>
  <c r="G45" i="31"/>
  <c r="T44" i="31"/>
  <c r="P44" i="31"/>
  <c r="M44" i="31"/>
  <c r="L44" i="31"/>
  <c r="J44" i="31"/>
  <c r="H44" i="31"/>
  <c r="G44" i="31"/>
  <c r="T43" i="31"/>
  <c r="P43" i="31"/>
  <c r="M43" i="31"/>
  <c r="L43" i="31"/>
  <c r="J43" i="31"/>
  <c r="H43" i="31"/>
  <c r="G43" i="31"/>
  <c r="T34" i="31"/>
  <c r="R34" i="31"/>
  <c r="Q34" i="31"/>
  <c r="P34" i="31"/>
  <c r="O34" i="31"/>
  <c r="M34" i="31"/>
  <c r="L34" i="31"/>
  <c r="J34" i="31"/>
  <c r="H34" i="31"/>
  <c r="G34" i="31"/>
  <c r="T33" i="31"/>
  <c r="R33" i="31"/>
  <c r="Q33" i="31"/>
  <c r="P33" i="31"/>
  <c r="O33" i="31"/>
  <c r="M33" i="31"/>
  <c r="L33" i="31"/>
  <c r="J33" i="31"/>
  <c r="H33" i="31"/>
  <c r="G33" i="31"/>
  <c r="T32" i="31"/>
  <c r="R32" i="31"/>
  <c r="Q32" i="31"/>
  <c r="P32" i="31"/>
  <c r="O32" i="31"/>
  <c r="M32" i="31"/>
  <c r="L32" i="31"/>
  <c r="J32" i="31"/>
  <c r="H32" i="31"/>
  <c r="G32" i="31"/>
  <c r="T31" i="31"/>
  <c r="R31" i="31"/>
  <c r="Q31" i="31"/>
  <c r="P31" i="31"/>
  <c r="O31" i="31"/>
  <c r="M31" i="31"/>
  <c r="L31" i="31"/>
  <c r="J31" i="31"/>
  <c r="H31" i="31"/>
  <c r="G31" i="31"/>
  <c r="T30" i="31"/>
  <c r="R30" i="31"/>
  <c r="Q30" i="31"/>
  <c r="P30" i="31"/>
  <c r="O30" i="31"/>
  <c r="M30" i="31"/>
  <c r="L30" i="31"/>
  <c r="J30" i="31"/>
  <c r="H30" i="31"/>
  <c r="G30" i="31"/>
  <c r="T29" i="31"/>
  <c r="R29" i="31"/>
  <c r="Q29" i="31"/>
  <c r="P29" i="31"/>
  <c r="O29" i="31"/>
  <c r="M29" i="31"/>
  <c r="L29" i="31"/>
  <c r="J29" i="31"/>
  <c r="H29" i="31"/>
  <c r="G29" i="31"/>
  <c r="T28" i="31"/>
  <c r="R28" i="31"/>
  <c r="Q28" i="31"/>
  <c r="P28" i="31"/>
  <c r="O28" i="31"/>
  <c r="M28" i="31"/>
  <c r="L28" i="31"/>
  <c r="J28" i="31"/>
  <c r="H28" i="31"/>
  <c r="G28" i="31"/>
  <c r="G35" i="31" s="1"/>
  <c r="T23" i="31"/>
  <c r="G23" i="31"/>
  <c r="H23" i="31" s="1"/>
  <c r="J23" i="31" s="1"/>
  <c r="T22" i="31"/>
  <c r="H22" i="31"/>
  <c r="J22" i="31" s="1"/>
  <c r="G22" i="31"/>
  <c r="O22" i="31" s="1"/>
  <c r="T21" i="31"/>
  <c r="G21" i="31"/>
  <c r="H21" i="31" s="1"/>
  <c r="J21" i="31" s="1"/>
  <c r="T20" i="31"/>
  <c r="H20" i="31"/>
  <c r="J20" i="31" s="1"/>
  <c r="G20" i="31"/>
  <c r="O20" i="31" s="1"/>
  <c r="T19" i="31"/>
  <c r="G19" i="31"/>
  <c r="H19" i="31" s="1"/>
  <c r="J19" i="31" s="1"/>
  <c r="T18" i="31"/>
  <c r="H18" i="31"/>
  <c r="J18" i="31" s="1"/>
  <c r="G18" i="31"/>
  <c r="O18" i="31" s="1"/>
  <c r="T17" i="31"/>
  <c r="G17" i="31"/>
  <c r="H17" i="31" s="1"/>
  <c r="J17" i="31" s="1"/>
  <c r="T16" i="31"/>
  <c r="G16" i="31"/>
  <c r="T15" i="31"/>
  <c r="G15" i="31"/>
  <c r="T14" i="31"/>
  <c r="G14" i="31"/>
  <c r="O14" i="31" s="1"/>
  <c r="D7" i="31"/>
  <c r="D6" i="31"/>
  <c r="B4" i="31"/>
  <c r="R53" i="30"/>
  <c r="R49" i="30"/>
  <c r="Q49" i="30"/>
  <c r="T47" i="30"/>
  <c r="R47" i="30"/>
  <c r="Q47" i="30"/>
  <c r="P47" i="30"/>
  <c r="M47" i="30"/>
  <c r="L47" i="30"/>
  <c r="J47" i="30"/>
  <c r="H47" i="30"/>
  <c r="G47" i="30"/>
  <c r="T46" i="30"/>
  <c r="R46" i="30"/>
  <c r="Q46" i="30"/>
  <c r="P46" i="30"/>
  <c r="M46" i="30"/>
  <c r="L46" i="30"/>
  <c r="J46" i="30"/>
  <c r="H46" i="30"/>
  <c r="G46" i="30"/>
  <c r="T45" i="30"/>
  <c r="R45" i="30"/>
  <c r="Q45" i="30"/>
  <c r="P45" i="30"/>
  <c r="M45" i="30"/>
  <c r="L45" i="30"/>
  <c r="J45" i="30"/>
  <c r="H45" i="30"/>
  <c r="G45" i="30"/>
  <c r="T44" i="30"/>
  <c r="P44" i="30"/>
  <c r="M44" i="30"/>
  <c r="L44" i="30"/>
  <c r="J44" i="30"/>
  <c r="H44" i="30"/>
  <c r="G44" i="30"/>
  <c r="T43" i="30"/>
  <c r="P43" i="30"/>
  <c r="M43" i="30"/>
  <c r="L43" i="30"/>
  <c r="J43" i="30"/>
  <c r="H43" i="30"/>
  <c r="G43" i="30"/>
  <c r="T34" i="30"/>
  <c r="R34" i="30"/>
  <c r="Q34" i="30"/>
  <c r="P34" i="30"/>
  <c r="O34" i="30"/>
  <c r="M34" i="30"/>
  <c r="L34" i="30"/>
  <c r="J34" i="30"/>
  <c r="H34" i="30"/>
  <c r="G34" i="30"/>
  <c r="T33" i="30"/>
  <c r="R33" i="30"/>
  <c r="Q33" i="30"/>
  <c r="P33" i="30"/>
  <c r="O33" i="30"/>
  <c r="M33" i="30"/>
  <c r="L33" i="30"/>
  <c r="J33" i="30"/>
  <c r="H33" i="30"/>
  <c r="G33" i="30"/>
  <c r="T32" i="30"/>
  <c r="R32" i="30"/>
  <c r="Q32" i="30"/>
  <c r="P32" i="30"/>
  <c r="O32" i="30"/>
  <c r="M32" i="30"/>
  <c r="L32" i="30"/>
  <c r="J32" i="30"/>
  <c r="H32" i="30"/>
  <c r="G32" i="30"/>
  <c r="T31" i="30"/>
  <c r="R31" i="30"/>
  <c r="Q31" i="30"/>
  <c r="P31" i="30"/>
  <c r="O31" i="30"/>
  <c r="M31" i="30"/>
  <c r="L31" i="30"/>
  <c r="J31" i="30"/>
  <c r="H31" i="30"/>
  <c r="G31" i="30"/>
  <c r="T30" i="30"/>
  <c r="R30" i="30"/>
  <c r="Q30" i="30"/>
  <c r="P30" i="30"/>
  <c r="O30" i="30"/>
  <c r="M30" i="30"/>
  <c r="L30" i="30"/>
  <c r="J30" i="30"/>
  <c r="H30" i="30"/>
  <c r="G30" i="30"/>
  <c r="T29" i="30"/>
  <c r="R29" i="30"/>
  <c r="Q29" i="30"/>
  <c r="P29" i="30"/>
  <c r="O29" i="30"/>
  <c r="M29" i="30"/>
  <c r="L29" i="30"/>
  <c r="J29" i="30"/>
  <c r="H29" i="30"/>
  <c r="G29" i="30"/>
  <c r="T28" i="30"/>
  <c r="R28" i="30"/>
  <c r="Q28" i="30"/>
  <c r="P28" i="30"/>
  <c r="O28" i="30"/>
  <c r="M28" i="30"/>
  <c r="L28" i="30"/>
  <c r="J28" i="30"/>
  <c r="H28" i="30"/>
  <c r="G28" i="30"/>
  <c r="T23" i="30"/>
  <c r="G23" i="30"/>
  <c r="O23" i="30" s="1"/>
  <c r="T22" i="30"/>
  <c r="H22" i="30"/>
  <c r="J22" i="30" s="1"/>
  <c r="G22" i="30"/>
  <c r="O22" i="30" s="1"/>
  <c r="T21" i="30"/>
  <c r="G21" i="30"/>
  <c r="O21" i="30" s="1"/>
  <c r="T20" i="30"/>
  <c r="G20" i="30"/>
  <c r="O20" i="30" s="1"/>
  <c r="T19" i="30"/>
  <c r="G19" i="30"/>
  <c r="O19" i="30" s="1"/>
  <c r="T18" i="30"/>
  <c r="H18" i="30"/>
  <c r="J18" i="30" s="1"/>
  <c r="G18" i="30"/>
  <c r="O18" i="30" s="1"/>
  <c r="T17" i="30"/>
  <c r="G17" i="30"/>
  <c r="O17" i="30" s="1"/>
  <c r="T16" i="30"/>
  <c r="G16" i="30"/>
  <c r="O16" i="30" s="1"/>
  <c r="T15" i="30"/>
  <c r="G15" i="30"/>
  <c r="O15" i="30" s="1"/>
  <c r="T14" i="30"/>
  <c r="G14" i="30"/>
  <c r="O14" i="30" s="1"/>
  <c r="D7" i="30"/>
  <c r="D6" i="30"/>
  <c r="O50" i="30"/>
  <c r="B2" i="30"/>
  <c r="B1" i="30"/>
  <c r="R53" i="29"/>
  <c r="R49" i="29"/>
  <c r="Q49" i="29"/>
  <c r="T47" i="29"/>
  <c r="R47" i="29"/>
  <c r="Q47" i="29"/>
  <c r="P47" i="29"/>
  <c r="M47" i="29"/>
  <c r="L47" i="29"/>
  <c r="J47" i="29"/>
  <c r="H47" i="29"/>
  <c r="G47" i="29"/>
  <c r="T46" i="29"/>
  <c r="R46" i="29"/>
  <c r="Q46" i="29"/>
  <c r="P46" i="29"/>
  <c r="M46" i="29"/>
  <c r="L46" i="29"/>
  <c r="J46" i="29"/>
  <c r="H46" i="29"/>
  <c r="G46" i="29"/>
  <c r="T45" i="29"/>
  <c r="R45" i="29"/>
  <c r="Q45" i="29"/>
  <c r="P45" i="29"/>
  <c r="M45" i="29"/>
  <c r="L45" i="29"/>
  <c r="J45" i="29"/>
  <c r="H45" i="29"/>
  <c r="G45" i="29"/>
  <c r="T44" i="29"/>
  <c r="P44" i="29"/>
  <c r="M44" i="29"/>
  <c r="L44" i="29"/>
  <c r="J44" i="29"/>
  <c r="H44" i="29"/>
  <c r="G44" i="29"/>
  <c r="T43" i="29"/>
  <c r="P43" i="29"/>
  <c r="M43" i="29"/>
  <c r="L43" i="29"/>
  <c r="J43" i="29"/>
  <c r="H43" i="29"/>
  <c r="G43" i="29"/>
  <c r="T34" i="29"/>
  <c r="R34" i="29"/>
  <c r="Q34" i="29"/>
  <c r="P34" i="29"/>
  <c r="O34" i="29"/>
  <c r="M34" i="29"/>
  <c r="L34" i="29"/>
  <c r="J34" i="29"/>
  <c r="H34" i="29"/>
  <c r="G34" i="29"/>
  <c r="T33" i="29"/>
  <c r="R33" i="29"/>
  <c r="Q33" i="29"/>
  <c r="P33" i="29"/>
  <c r="O33" i="29"/>
  <c r="M33" i="29"/>
  <c r="L33" i="29"/>
  <c r="J33" i="29"/>
  <c r="H33" i="29"/>
  <c r="G33" i="29"/>
  <c r="T32" i="29"/>
  <c r="R32" i="29"/>
  <c r="Q32" i="29"/>
  <c r="P32" i="29"/>
  <c r="O32" i="29"/>
  <c r="M32" i="29"/>
  <c r="L32" i="29"/>
  <c r="J32" i="29"/>
  <c r="H32" i="29"/>
  <c r="G32" i="29"/>
  <c r="T31" i="29"/>
  <c r="R31" i="29"/>
  <c r="Q31" i="29"/>
  <c r="P31" i="29"/>
  <c r="O31" i="29"/>
  <c r="M31" i="29"/>
  <c r="L31" i="29"/>
  <c r="J31" i="29"/>
  <c r="H31" i="29"/>
  <c r="G31" i="29"/>
  <c r="T30" i="29"/>
  <c r="R30" i="29"/>
  <c r="Q30" i="29"/>
  <c r="P30" i="29"/>
  <c r="O30" i="29"/>
  <c r="M30" i="29"/>
  <c r="L30" i="29"/>
  <c r="J30" i="29"/>
  <c r="H30" i="29"/>
  <c r="G30" i="29"/>
  <c r="T29" i="29"/>
  <c r="R29" i="29"/>
  <c r="Q29" i="29"/>
  <c r="P29" i="29"/>
  <c r="O29" i="29"/>
  <c r="M29" i="29"/>
  <c r="L29" i="29"/>
  <c r="J29" i="29"/>
  <c r="H29" i="29"/>
  <c r="G29" i="29"/>
  <c r="T28" i="29"/>
  <c r="R28" i="29"/>
  <c r="Q28" i="29"/>
  <c r="P28" i="29"/>
  <c r="O28" i="29"/>
  <c r="M28" i="29"/>
  <c r="L28" i="29"/>
  <c r="J28" i="29"/>
  <c r="H28" i="29"/>
  <c r="G28" i="29"/>
  <c r="T23" i="29"/>
  <c r="G23" i="29"/>
  <c r="O23" i="29" s="1"/>
  <c r="T22" i="29"/>
  <c r="H22" i="29"/>
  <c r="J22" i="29" s="1"/>
  <c r="G22" i="29"/>
  <c r="O22" i="29" s="1"/>
  <c r="T21" i="29"/>
  <c r="G21" i="29"/>
  <c r="O21" i="29" s="1"/>
  <c r="T20" i="29"/>
  <c r="H20" i="29"/>
  <c r="J20" i="29" s="1"/>
  <c r="G20" i="29"/>
  <c r="O20" i="29" s="1"/>
  <c r="T19" i="29"/>
  <c r="G19" i="29"/>
  <c r="O19" i="29" s="1"/>
  <c r="T18" i="29"/>
  <c r="H18" i="29"/>
  <c r="J18" i="29" s="1"/>
  <c r="G18" i="29"/>
  <c r="O18" i="29" s="1"/>
  <c r="T17" i="29"/>
  <c r="G17" i="29"/>
  <c r="O17" i="29" s="1"/>
  <c r="T16" i="29"/>
  <c r="H16" i="29"/>
  <c r="J16" i="29" s="1"/>
  <c r="G16" i="29"/>
  <c r="O16" i="29" s="1"/>
  <c r="T15" i="29"/>
  <c r="G15" i="29"/>
  <c r="O15" i="29" s="1"/>
  <c r="T14" i="29"/>
  <c r="G14" i="29"/>
  <c r="H14" i="29" s="1"/>
  <c r="D7" i="29"/>
  <c r="D6" i="29"/>
  <c r="B2" i="29"/>
  <c r="B1" i="29"/>
  <c r="R53" i="28"/>
  <c r="R49" i="28"/>
  <c r="Q49" i="28"/>
  <c r="T47" i="28"/>
  <c r="R47" i="28"/>
  <c r="Q47" i="28"/>
  <c r="P47" i="28"/>
  <c r="M47" i="28"/>
  <c r="L47" i="28"/>
  <c r="J47" i="28"/>
  <c r="H47" i="28"/>
  <c r="G47" i="28"/>
  <c r="T46" i="28"/>
  <c r="R46" i="28"/>
  <c r="Q46" i="28"/>
  <c r="P46" i="28"/>
  <c r="M46" i="28"/>
  <c r="L46" i="28"/>
  <c r="J46" i="28"/>
  <c r="H46" i="28"/>
  <c r="G46" i="28"/>
  <c r="T45" i="28"/>
  <c r="R45" i="28"/>
  <c r="Q45" i="28"/>
  <c r="P45" i="28"/>
  <c r="M45" i="28"/>
  <c r="L45" i="28"/>
  <c r="J45" i="28"/>
  <c r="H45" i="28"/>
  <c r="G45" i="28"/>
  <c r="T44" i="28"/>
  <c r="P44" i="28"/>
  <c r="M44" i="28"/>
  <c r="L44" i="28"/>
  <c r="J44" i="28"/>
  <c r="H44" i="28"/>
  <c r="G44" i="28"/>
  <c r="T43" i="28"/>
  <c r="P43" i="28"/>
  <c r="M43" i="28"/>
  <c r="L43" i="28"/>
  <c r="J43" i="28"/>
  <c r="H43" i="28"/>
  <c r="G43" i="28"/>
  <c r="T34" i="28"/>
  <c r="R34" i="28"/>
  <c r="Q34" i="28"/>
  <c r="P34" i="28"/>
  <c r="O34" i="28"/>
  <c r="M34" i="28"/>
  <c r="L34" i="28"/>
  <c r="J34" i="28"/>
  <c r="H34" i="28"/>
  <c r="G34" i="28"/>
  <c r="T33" i="28"/>
  <c r="R33" i="28"/>
  <c r="Q33" i="28"/>
  <c r="P33" i="28"/>
  <c r="O33" i="28"/>
  <c r="M33" i="28"/>
  <c r="L33" i="28"/>
  <c r="J33" i="28"/>
  <c r="H33" i="28"/>
  <c r="G33" i="28"/>
  <c r="T32" i="28"/>
  <c r="R32" i="28"/>
  <c r="Q32" i="28"/>
  <c r="P32" i="28"/>
  <c r="O32" i="28"/>
  <c r="M32" i="28"/>
  <c r="L32" i="28"/>
  <c r="J32" i="28"/>
  <c r="H32" i="28"/>
  <c r="G32" i="28"/>
  <c r="T31" i="28"/>
  <c r="R31" i="28"/>
  <c r="Q31" i="28"/>
  <c r="P31" i="28"/>
  <c r="O31" i="28"/>
  <c r="M31" i="28"/>
  <c r="L31" i="28"/>
  <c r="J31" i="28"/>
  <c r="H31" i="28"/>
  <c r="G31" i="28"/>
  <c r="T30" i="28"/>
  <c r="R30" i="28"/>
  <c r="Q30" i="28"/>
  <c r="P30" i="28"/>
  <c r="O30" i="28"/>
  <c r="M30" i="28"/>
  <c r="L30" i="28"/>
  <c r="J30" i="28"/>
  <c r="H30" i="28"/>
  <c r="G30" i="28"/>
  <c r="T29" i="28"/>
  <c r="R29" i="28"/>
  <c r="Q29" i="28"/>
  <c r="P29" i="28"/>
  <c r="O29" i="28"/>
  <c r="M29" i="28"/>
  <c r="L29" i="28"/>
  <c r="J29" i="28"/>
  <c r="H29" i="28"/>
  <c r="G29" i="28"/>
  <c r="T28" i="28"/>
  <c r="R28" i="28"/>
  <c r="Q28" i="28"/>
  <c r="P28" i="28"/>
  <c r="O28" i="28"/>
  <c r="M28" i="28"/>
  <c r="L28" i="28"/>
  <c r="J28" i="28"/>
  <c r="H28" i="28"/>
  <c r="G28" i="28"/>
  <c r="G35" i="28" s="1"/>
  <c r="T23" i="28"/>
  <c r="G23" i="28"/>
  <c r="H23" i="28" s="1"/>
  <c r="J23" i="28" s="1"/>
  <c r="T22" i="28"/>
  <c r="G22" i="28"/>
  <c r="O22" i="28" s="1"/>
  <c r="T21" i="28"/>
  <c r="G21" i="28"/>
  <c r="H21" i="28" s="1"/>
  <c r="J21" i="28" s="1"/>
  <c r="T20" i="28"/>
  <c r="G20" i="28"/>
  <c r="O20" i="28" s="1"/>
  <c r="T19" i="28"/>
  <c r="G19" i="28"/>
  <c r="H19" i="28" s="1"/>
  <c r="J19" i="28" s="1"/>
  <c r="T18" i="28"/>
  <c r="G18" i="28"/>
  <c r="O18" i="28" s="1"/>
  <c r="T17" i="28"/>
  <c r="G17" i="28"/>
  <c r="H17" i="28" s="1"/>
  <c r="J17" i="28" s="1"/>
  <c r="T16" i="28"/>
  <c r="G16" i="28"/>
  <c r="O16" i="28" s="1"/>
  <c r="T15" i="28"/>
  <c r="G15" i="28"/>
  <c r="H15" i="28" s="1"/>
  <c r="J15" i="28" s="1"/>
  <c r="T14" i="28"/>
  <c r="G14" i="28"/>
  <c r="O14" i="28" s="1"/>
  <c r="D7" i="28"/>
  <c r="D6" i="28"/>
  <c r="O50" i="28"/>
  <c r="B2" i="28"/>
  <c r="B1" i="28"/>
  <c r="U47" i="23"/>
  <c r="R47" i="23"/>
  <c r="Q47" i="23"/>
  <c r="P47" i="23"/>
  <c r="O47" i="23"/>
  <c r="M47" i="23"/>
  <c r="L47" i="23"/>
  <c r="J47" i="23"/>
  <c r="H47" i="23"/>
  <c r="G47" i="23"/>
  <c r="U46" i="23"/>
  <c r="R46" i="23"/>
  <c r="Q46" i="23"/>
  <c r="P46" i="23"/>
  <c r="O46" i="23"/>
  <c r="M46" i="23"/>
  <c r="L46" i="23"/>
  <c r="J46" i="23"/>
  <c r="H46" i="23"/>
  <c r="G46" i="23"/>
  <c r="U45" i="23"/>
  <c r="R45" i="23"/>
  <c r="Q45" i="23"/>
  <c r="P45" i="23"/>
  <c r="O45" i="23"/>
  <c r="M45" i="23"/>
  <c r="L45" i="23"/>
  <c r="J45" i="23"/>
  <c r="H45" i="23"/>
  <c r="G45" i="23"/>
  <c r="U44" i="23"/>
  <c r="G44" i="23"/>
  <c r="O44" i="23"/>
  <c r="U43" i="23"/>
  <c r="G43" i="23"/>
  <c r="O39" i="22"/>
  <c r="P39" i="22"/>
  <c r="Q39" i="22"/>
  <c r="M39" i="22"/>
  <c r="N39" i="22"/>
  <c r="J39" i="22"/>
  <c r="K39" i="22"/>
  <c r="L39" i="22"/>
  <c r="Q43" i="22"/>
  <c r="P43" i="22"/>
  <c r="O43" i="22"/>
  <c r="N43" i="22"/>
  <c r="M43" i="22"/>
  <c r="L43" i="22"/>
  <c r="K43" i="22"/>
  <c r="J43" i="22"/>
  <c r="A56" i="23"/>
  <c r="B2" i="23"/>
  <c r="B1" i="23"/>
  <c r="A34" i="14"/>
  <c r="A33" i="14"/>
  <c r="G14" i="23"/>
  <c r="O14" i="23" s="1"/>
  <c r="G15" i="23"/>
  <c r="O15" i="23" s="1"/>
  <c r="G16" i="23"/>
  <c r="O16" i="23" s="1"/>
  <c r="G17" i="23"/>
  <c r="O17" i="23" s="1"/>
  <c r="G18" i="23"/>
  <c r="O18" i="23" s="1"/>
  <c r="B6" i="16"/>
  <c r="L50" i="23" s="1"/>
  <c r="O29" i="23"/>
  <c r="O30" i="23"/>
  <c r="O31" i="23"/>
  <c r="O32" i="23"/>
  <c r="O33" i="23"/>
  <c r="O34" i="23"/>
  <c r="G19" i="23"/>
  <c r="O19" i="23" s="1"/>
  <c r="G20" i="23"/>
  <c r="O20" i="23" s="1"/>
  <c r="G21" i="23"/>
  <c r="O21" i="23" s="1"/>
  <c r="G22" i="23"/>
  <c r="O22" i="23" s="1"/>
  <c r="G23" i="23"/>
  <c r="O23" i="23" s="1"/>
  <c r="G28" i="23"/>
  <c r="O28" i="23" s="1"/>
  <c r="G29" i="23"/>
  <c r="G30" i="23"/>
  <c r="G31" i="23"/>
  <c r="G32" i="23"/>
  <c r="G33" i="23"/>
  <c r="G34" i="23"/>
  <c r="H20" i="23"/>
  <c r="J20" i="23" s="1"/>
  <c r="H21" i="23"/>
  <c r="H22" i="23"/>
  <c r="J22" i="23" s="1"/>
  <c r="H23" i="23"/>
  <c r="H29" i="23"/>
  <c r="H30" i="23"/>
  <c r="H31" i="23"/>
  <c r="H32" i="23"/>
  <c r="H33" i="23"/>
  <c r="H34" i="23"/>
  <c r="L29" i="23"/>
  <c r="L30" i="23"/>
  <c r="L31" i="23"/>
  <c r="L32" i="23"/>
  <c r="L33" i="23"/>
  <c r="L34" i="23"/>
  <c r="B34" i="16"/>
  <c r="L50" i="31" s="1"/>
  <c r="J29" i="23"/>
  <c r="J30" i="23"/>
  <c r="J31" i="23"/>
  <c r="J32" i="23"/>
  <c r="J33" i="23"/>
  <c r="J34" i="23"/>
  <c r="P29" i="23"/>
  <c r="P30" i="23"/>
  <c r="P31" i="23"/>
  <c r="P32" i="23"/>
  <c r="P33" i="23"/>
  <c r="P34" i="23"/>
  <c r="Q34" i="23"/>
  <c r="Q33" i="23"/>
  <c r="Q32" i="23"/>
  <c r="Q31" i="23"/>
  <c r="Q30" i="23"/>
  <c r="Q29" i="23"/>
  <c r="J23" i="23"/>
  <c r="J21" i="23"/>
  <c r="M29" i="23"/>
  <c r="M30" i="23"/>
  <c r="M31" i="23"/>
  <c r="M32" i="23"/>
  <c r="M33" i="23"/>
  <c r="M34" i="23"/>
  <c r="U34" i="23"/>
  <c r="U33" i="23"/>
  <c r="U32" i="23"/>
  <c r="U31" i="23"/>
  <c r="U30" i="23"/>
  <c r="U29" i="23"/>
  <c r="U28" i="23"/>
  <c r="D6" i="23"/>
  <c r="D7" i="23"/>
  <c r="R29" i="23"/>
  <c r="R30" i="23"/>
  <c r="R31" i="23"/>
  <c r="R32" i="23"/>
  <c r="R33" i="23"/>
  <c r="R34" i="23"/>
  <c r="Q49" i="23"/>
  <c r="R49" i="23"/>
  <c r="R53" i="23"/>
  <c r="J34" i="22"/>
  <c r="K34" i="22"/>
  <c r="L34" i="22"/>
  <c r="M34" i="22"/>
  <c r="N34" i="22"/>
  <c r="O34" i="22"/>
  <c r="P34" i="22"/>
  <c r="Q34" i="22"/>
  <c r="J35" i="22"/>
  <c r="K35" i="22"/>
  <c r="L35" i="22"/>
  <c r="M35" i="22"/>
  <c r="N35" i="22"/>
  <c r="O35" i="22"/>
  <c r="P35" i="22"/>
  <c r="Q35" i="22"/>
  <c r="J36" i="22"/>
  <c r="K36" i="22"/>
  <c r="L36" i="22"/>
  <c r="M36" i="22"/>
  <c r="N36" i="22"/>
  <c r="O36" i="22"/>
  <c r="P36" i="22"/>
  <c r="Q36" i="22"/>
  <c r="J37" i="22"/>
  <c r="K37" i="22"/>
  <c r="L37" i="22"/>
  <c r="M37" i="22"/>
  <c r="N37" i="22"/>
  <c r="O37" i="22"/>
  <c r="P37" i="22"/>
  <c r="Q37" i="22"/>
  <c r="J38" i="22"/>
  <c r="K38" i="22"/>
  <c r="L38" i="22"/>
  <c r="M38" i="22"/>
  <c r="N38" i="22"/>
  <c r="O38" i="22"/>
  <c r="P38" i="22"/>
  <c r="Q38" i="22"/>
  <c r="J40" i="22"/>
  <c r="K40" i="22"/>
  <c r="L40" i="22"/>
  <c r="M40" i="22"/>
  <c r="N40" i="22"/>
  <c r="O40" i="22"/>
  <c r="P40" i="22"/>
  <c r="Q40" i="22"/>
  <c r="J41" i="22"/>
  <c r="K41" i="22"/>
  <c r="L41" i="22"/>
  <c r="M41" i="22"/>
  <c r="N41" i="22"/>
  <c r="O41" i="22"/>
  <c r="P41" i="22"/>
  <c r="Q41" i="22"/>
  <c r="J42" i="22"/>
  <c r="K42" i="22"/>
  <c r="L42" i="22"/>
  <c r="M42" i="22"/>
  <c r="N42" i="22"/>
  <c r="O42" i="22"/>
  <c r="P42" i="22"/>
  <c r="Q42" i="22"/>
  <c r="J44" i="22"/>
  <c r="K44" i="22"/>
  <c r="L44" i="22"/>
  <c r="M44" i="22"/>
  <c r="N44" i="22"/>
  <c r="O44" i="22"/>
  <c r="P44" i="22"/>
  <c r="Q44" i="22"/>
  <c r="J45" i="22"/>
  <c r="K45" i="22"/>
  <c r="L45" i="22"/>
  <c r="M45" i="22"/>
  <c r="N45" i="22"/>
  <c r="O45" i="22"/>
  <c r="P45" i="22"/>
  <c r="Q45" i="22"/>
  <c r="D17" i="14"/>
  <c r="D16" i="14"/>
  <c r="D5" i="14"/>
  <c r="B13" i="16"/>
  <c r="L50" i="28" s="1"/>
  <c r="B20" i="16"/>
  <c r="L50" i="29" s="1"/>
  <c r="B27" i="16"/>
  <c r="L50" i="30" s="1"/>
  <c r="E21" i="21"/>
  <c r="G21" i="21" s="1"/>
  <c r="G20" i="21"/>
  <c r="E19" i="21"/>
  <c r="G19" i="21" s="1"/>
  <c r="E18" i="21"/>
  <c r="G18" i="21" s="1"/>
  <c r="G17" i="21"/>
  <c r="E16" i="21"/>
  <c r="G16" i="21" s="1"/>
  <c r="E15" i="21"/>
  <c r="G15" i="21" s="1"/>
  <c r="G14" i="21"/>
  <c r="E13" i="21"/>
  <c r="G13" i="21" s="1"/>
  <c r="E12" i="21"/>
  <c r="G12" i="21"/>
  <c r="G11" i="21"/>
  <c r="E10" i="21"/>
  <c r="G10" i="21" s="1"/>
  <c r="E9" i="21"/>
  <c r="G9" i="21" s="1"/>
  <c r="G8" i="21"/>
  <c r="E7" i="21"/>
  <c r="G7" i="21" s="1"/>
  <c r="E6" i="21"/>
  <c r="G6" i="21" s="1"/>
  <c r="G5" i="21"/>
  <c r="E4" i="21"/>
  <c r="G4" i="21" s="1"/>
  <c r="I20" i="21"/>
  <c r="I17" i="21"/>
  <c r="I14" i="21"/>
  <c r="I11" i="21"/>
  <c r="I8" i="21"/>
  <c r="I5" i="21"/>
  <c r="I19" i="21"/>
  <c r="I16" i="21"/>
  <c r="I13" i="21"/>
  <c r="I10" i="21"/>
  <c r="I7" i="21"/>
  <c r="I4" i="21"/>
  <c r="C21" i="21"/>
  <c r="C18" i="21"/>
  <c r="C15" i="21"/>
  <c r="C12" i="21"/>
  <c r="C9" i="21"/>
  <c r="C6" i="21"/>
  <c r="C20" i="21"/>
  <c r="C17" i="21"/>
  <c r="C14" i="21"/>
  <c r="C11" i="21"/>
  <c r="C8" i="21"/>
  <c r="C5" i="21"/>
  <c r="A20" i="13"/>
  <c r="A21" i="13" s="1"/>
  <c r="A22" i="13" s="1"/>
  <c r="A23" i="13" s="1"/>
  <c r="A24" i="13" s="1"/>
  <c r="A25" i="13" s="1"/>
  <c r="A26" i="13" s="1"/>
  <c r="A27" i="13" s="1"/>
  <c r="A28" i="13" s="1"/>
  <c r="A5" i="13"/>
  <c r="A6" i="13"/>
  <c r="A7" i="13" s="1"/>
  <c r="A8" i="13" s="1"/>
  <c r="A9" i="13" s="1"/>
  <c r="A10" i="13" s="1"/>
  <c r="A11" i="13" s="1"/>
  <c r="A12" i="13" s="1"/>
  <c r="A13" i="13" s="1"/>
  <c r="L23" i="23"/>
  <c r="H18" i="23"/>
  <c r="J18" i="23" s="1"/>
  <c r="H44" i="23"/>
  <c r="J44" i="23"/>
  <c r="L44" i="23"/>
  <c r="P44" i="23"/>
  <c r="H43" i="23"/>
  <c r="L43" i="23"/>
  <c r="O43" i="23"/>
  <c r="M43" i="23"/>
  <c r="M44" i="23"/>
  <c r="P43" i="23"/>
  <c r="J43" i="23"/>
  <c r="O16" i="31" l="1"/>
  <c r="H16" i="31"/>
  <c r="H15" i="31"/>
  <c r="G48" i="31"/>
  <c r="H48" i="31"/>
  <c r="H48" i="23"/>
  <c r="G48" i="30"/>
  <c r="O35" i="29"/>
  <c r="Q35" i="29" s="1"/>
  <c r="G35" i="30"/>
  <c r="H35" i="31"/>
  <c r="L73" i="33"/>
  <c r="L74" i="33" s="1"/>
  <c r="O35" i="28"/>
  <c r="Q35" i="28" s="1"/>
  <c r="H35" i="28"/>
  <c r="G48" i="28"/>
  <c r="P35" i="29"/>
  <c r="P35" i="28"/>
  <c r="L16" i="23"/>
  <c r="P16" i="23" s="1"/>
  <c r="Q16" i="23" s="1"/>
  <c r="H16" i="23"/>
  <c r="J16" i="23" s="1"/>
  <c r="O50" i="31"/>
  <c r="M38" i="31"/>
  <c r="L38" i="31"/>
  <c r="J38" i="31"/>
  <c r="G38" i="31"/>
  <c r="G39" i="31"/>
  <c r="P38" i="31"/>
  <c r="O38" i="31"/>
  <c r="O50" i="29"/>
  <c r="P38" i="29"/>
  <c r="O38" i="29"/>
  <c r="M38" i="29"/>
  <c r="L38" i="29"/>
  <c r="J38" i="29"/>
  <c r="G38" i="29"/>
  <c r="H38" i="29" s="1"/>
  <c r="H14" i="30"/>
  <c r="J14" i="30" s="1"/>
  <c r="O50" i="23"/>
  <c r="G35" i="29"/>
  <c r="H35" i="29"/>
  <c r="L35" i="30"/>
  <c r="M35" i="31"/>
  <c r="J35" i="31"/>
  <c r="R35" i="31" s="1"/>
  <c r="H48" i="28"/>
  <c r="G48" i="23"/>
  <c r="J35" i="28"/>
  <c r="R35" i="28" s="1"/>
  <c r="J35" i="29"/>
  <c r="R35" i="29" s="1"/>
  <c r="M35" i="30"/>
  <c r="O35" i="31"/>
  <c r="Q35" i="31" s="1"/>
  <c r="G48" i="29"/>
  <c r="L35" i="31"/>
  <c r="L35" i="28"/>
  <c r="L35" i="29"/>
  <c r="O35" i="30"/>
  <c r="Q35" i="30" s="1"/>
  <c r="P35" i="31"/>
  <c r="H35" i="30"/>
  <c r="J35" i="30"/>
  <c r="R35" i="30" s="1"/>
  <c r="M35" i="28"/>
  <c r="M35" i="29"/>
  <c r="P35" i="30"/>
  <c r="H15" i="23"/>
  <c r="J15" i="23" s="1"/>
  <c r="A55" i="23"/>
  <c r="O35" i="23"/>
  <c r="Q35" i="23" s="1"/>
  <c r="G35" i="23"/>
  <c r="H28" i="23"/>
  <c r="L28" i="23"/>
  <c r="L35" i="23" s="1"/>
  <c r="H48" i="30"/>
  <c r="G24" i="30"/>
  <c r="H48" i="29"/>
  <c r="H16" i="30"/>
  <c r="J16" i="30" s="1"/>
  <c r="H20" i="30"/>
  <c r="J20" i="30" s="1"/>
  <c r="R20" i="30" s="1"/>
  <c r="R18" i="31"/>
  <c r="R22" i="31"/>
  <c r="R20" i="31"/>
  <c r="H14" i="31"/>
  <c r="L15" i="31"/>
  <c r="O15" i="31"/>
  <c r="L17" i="31"/>
  <c r="M17" i="31" s="1"/>
  <c r="O17" i="31"/>
  <c r="L19" i="31"/>
  <c r="M19" i="31" s="1"/>
  <c r="O19" i="31"/>
  <c r="L21" i="31"/>
  <c r="M21" i="31" s="1"/>
  <c r="O21" i="31"/>
  <c r="L23" i="31"/>
  <c r="M23" i="31" s="1"/>
  <c r="O23" i="31"/>
  <c r="G24" i="31"/>
  <c r="G37" i="31" s="1"/>
  <c r="L14" i="31"/>
  <c r="P14" i="31" s="1"/>
  <c r="L16" i="31"/>
  <c r="L18" i="31"/>
  <c r="P18" i="31" s="1"/>
  <c r="Q18" i="31" s="1"/>
  <c r="L20" i="31"/>
  <c r="M20" i="31" s="1"/>
  <c r="L22" i="31"/>
  <c r="P22" i="31" s="1"/>
  <c r="Q22" i="31" s="1"/>
  <c r="R16" i="30"/>
  <c r="O24" i="30"/>
  <c r="R18" i="30"/>
  <c r="R22" i="30"/>
  <c r="L14" i="30"/>
  <c r="P14" i="30" s="1"/>
  <c r="H15" i="30"/>
  <c r="J15" i="30" s="1"/>
  <c r="L16" i="30"/>
  <c r="P16" i="30" s="1"/>
  <c r="Q16" i="30" s="1"/>
  <c r="H17" i="30"/>
  <c r="J17" i="30" s="1"/>
  <c r="R17" i="30" s="1"/>
  <c r="L18" i="30"/>
  <c r="M18" i="30" s="1"/>
  <c r="H19" i="30"/>
  <c r="J19" i="30" s="1"/>
  <c r="L20" i="30"/>
  <c r="P20" i="30" s="1"/>
  <c r="Q20" i="30" s="1"/>
  <c r="H21" i="30"/>
  <c r="J21" i="30" s="1"/>
  <c r="R21" i="30" s="1"/>
  <c r="L22" i="30"/>
  <c r="M22" i="30" s="1"/>
  <c r="H23" i="30"/>
  <c r="J23" i="30" s="1"/>
  <c r="L15" i="30"/>
  <c r="P15" i="30" s="1"/>
  <c r="Q15" i="30" s="1"/>
  <c r="L17" i="30"/>
  <c r="P17" i="30" s="1"/>
  <c r="Q17" i="30" s="1"/>
  <c r="L19" i="30"/>
  <c r="P19" i="30" s="1"/>
  <c r="Q19" i="30" s="1"/>
  <c r="L21" i="30"/>
  <c r="P21" i="30" s="1"/>
  <c r="Q21" i="30" s="1"/>
  <c r="L23" i="30"/>
  <c r="P23" i="30" s="1"/>
  <c r="Q23" i="30" s="1"/>
  <c r="J14" i="29"/>
  <c r="R16" i="29"/>
  <c r="P16" i="29"/>
  <c r="Q16" i="29" s="1"/>
  <c r="P19" i="29"/>
  <c r="Q19" i="29" s="1"/>
  <c r="R20" i="29"/>
  <c r="P20" i="29"/>
  <c r="Q20" i="29" s="1"/>
  <c r="P23" i="29"/>
  <c r="Q23" i="29" s="1"/>
  <c r="M22" i="29"/>
  <c r="R18" i="29"/>
  <c r="P18" i="29"/>
  <c r="Q18" i="29" s="1"/>
  <c r="R22" i="29"/>
  <c r="P22" i="29"/>
  <c r="Q22" i="29" s="1"/>
  <c r="M20" i="29"/>
  <c r="G24" i="29"/>
  <c r="G37" i="29" s="1"/>
  <c r="H37" i="29" s="1"/>
  <c r="L14" i="29"/>
  <c r="O14" i="29"/>
  <c r="H15" i="29"/>
  <c r="J15" i="29" s="1"/>
  <c r="M15" i="29" s="1"/>
  <c r="L16" i="29"/>
  <c r="M16" i="29" s="1"/>
  <c r="H17" i="29"/>
  <c r="J17" i="29" s="1"/>
  <c r="R17" i="29" s="1"/>
  <c r="L18" i="29"/>
  <c r="M18" i="29" s="1"/>
  <c r="H19" i="29"/>
  <c r="J19" i="29" s="1"/>
  <c r="M19" i="29" s="1"/>
  <c r="L20" i="29"/>
  <c r="H21" i="29"/>
  <c r="J21" i="29" s="1"/>
  <c r="R21" i="29" s="1"/>
  <c r="L22" i="29"/>
  <c r="H23" i="29"/>
  <c r="J23" i="29" s="1"/>
  <c r="M23" i="29" s="1"/>
  <c r="L15" i="29"/>
  <c r="P15" i="29" s="1"/>
  <c r="Q15" i="29" s="1"/>
  <c r="L17" i="29"/>
  <c r="P17" i="29" s="1"/>
  <c r="Q17" i="29" s="1"/>
  <c r="L19" i="29"/>
  <c r="L21" i="29"/>
  <c r="P21" i="29" s="1"/>
  <c r="Q21" i="29" s="1"/>
  <c r="L23" i="29"/>
  <c r="L23" i="28"/>
  <c r="M23" i="28" s="1"/>
  <c r="O23" i="28"/>
  <c r="H22" i="28"/>
  <c r="J22" i="28" s="1"/>
  <c r="L22" i="28"/>
  <c r="P22" i="28" s="1"/>
  <c r="Q22" i="28" s="1"/>
  <c r="L21" i="28"/>
  <c r="M21" i="28" s="1"/>
  <c r="O21" i="28"/>
  <c r="H20" i="28"/>
  <c r="J20" i="28" s="1"/>
  <c r="L20" i="28"/>
  <c r="P20" i="28" s="1"/>
  <c r="Q20" i="28" s="1"/>
  <c r="L19" i="28"/>
  <c r="M19" i="28" s="1"/>
  <c r="O19" i="28"/>
  <c r="H18" i="28"/>
  <c r="J18" i="28" s="1"/>
  <c r="L18" i="28"/>
  <c r="P18" i="28" s="1"/>
  <c r="Q18" i="28" s="1"/>
  <c r="L17" i="28"/>
  <c r="M17" i="28" s="1"/>
  <c r="O17" i="28"/>
  <c r="H16" i="28"/>
  <c r="J16" i="28" s="1"/>
  <c r="L16" i="28"/>
  <c r="P16" i="28" s="1"/>
  <c r="Q16" i="28" s="1"/>
  <c r="L15" i="28"/>
  <c r="M15" i="28" s="1"/>
  <c r="O15" i="28"/>
  <c r="H14" i="28"/>
  <c r="G24" i="28"/>
  <c r="L14" i="28"/>
  <c r="P14" i="28" s="1"/>
  <c r="L20" i="23"/>
  <c r="M20" i="23" s="1"/>
  <c r="P23" i="23"/>
  <c r="Q23" i="23" s="1"/>
  <c r="R23" i="23"/>
  <c r="M23" i="23"/>
  <c r="R22" i="23"/>
  <c r="R21" i="23"/>
  <c r="R20" i="23"/>
  <c r="L19" i="23"/>
  <c r="L18" i="23"/>
  <c r="M18" i="23" s="1"/>
  <c r="L17" i="23"/>
  <c r="P17" i="23" s="1"/>
  <c r="Q17" i="23" s="1"/>
  <c r="L15" i="23"/>
  <c r="P15" i="23" s="1"/>
  <c r="Q15" i="23" s="1"/>
  <c r="P19" i="23"/>
  <c r="Q19" i="23" s="1"/>
  <c r="H19" i="23"/>
  <c r="J19" i="23" s="1"/>
  <c r="R18" i="23"/>
  <c r="H17" i="23"/>
  <c r="J17" i="23" s="1"/>
  <c r="R16" i="23"/>
  <c r="L14" i="23"/>
  <c r="P14" i="23" s="1"/>
  <c r="Q14" i="23" s="1"/>
  <c r="O24" i="23"/>
  <c r="C26" i="14" s="1"/>
  <c r="G24" i="23"/>
  <c r="H14" i="23"/>
  <c r="L22" i="23"/>
  <c r="M22" i="23" s="1"/>
  <c r="L21" i="23"/>
  <c r="P21" i="23" s="1"/>
  <c r="Q21" i="23" s="1"/>
  <c r="O25" i="38" l="1"/>
  <c r="G25" i="38"/>
  <c r="J16" i="31"/>
  <c r="M16" i="31" s="1"/>
  <c r="M15" i="31"/>
  <c r="J15" i="31"/>
  <c r="H39" i="31"/>
  <c r="H37" i="31"/>
  <c r="H38" i="31"/>
  <c r="L78" i="33"/>
  <c r="L79" i="33"/>
  <c r="P76" i="33"/>
  <c r="Q76" i="33" s="1"/>
  <c r="G39" i="29"/>
  <c r="H39" i="29" s="1"/>
  <c r="M16" i="23"/>
  <c r="G40" i="31"/>
  <c r="G39" i="23"/>
  <c r="H39" i="23" s="1"/>
  <c r="O39" i="23"/>
  <c r="D26" i="14" s="1"/>
  <c r="R39" i="31"/>
  <c r="Q39" i="31"/>
  <c r="R38" i="29"/>
  <c r="Q38" i="29"/>
  <c r="R38" i="31"/>
  <c r="Q38" i="31"/>
  <c r="G37" i="30"/>
  <c r="H37" i="30" s="1"/>
  <c r="G39" i="30"/>
  <c r="H39" i="30" s="1"/>
  <c r="O39" i="30"/>
  <c r="D29" i="14" s="1"/>
  <c r="G37" i="28"/>
  <c r="H37" i="28" s="1"/>
  <c r="G39" i="28"/>
  <c r="R38" i="23"/>
  <c r="Q38" i="23"/>
  <c r="O37" i="30"/>
  <c r="M15" i="23"/>
  <c r="R15" i="23"/>
  <c r="P28" i="23"/>
  <c r="Q28" i="23" s="1"/>
  <c r="M28" i="23"/>
  <c r="M35" i="23" s="1"/>
  <c r="J28" i="23"/>
  <c r="H35" i="23"/>
  <c r="L24" i="31"/>
  <c r="L39" i="31" s="1"/>
  <c r="J24" i="30"/>
  <c r="J24" i="29"/>
  <c r="J39" i="29" s="1"/>
  <c r="L24" i="30"/>
  <c r="H24" i="30"/>
  <c r="M21" i="23"/>
  <c r="P22" i="23"/>
  <c r="Q22" i="23" s="1"/>
  <c r="Q14" i="31"/>
  <c r="R23" i="31"/>
  <c r="P23" i="31"/>
  <c r="Q23" i="31" s="1"/>
  <c r="R21" i="31"/>
  <c r="P21" i="31"/>
  <c r="Q21" i="31" s="1"/>
  <c r="R19" i="31"/>
  <c r="P19" i="31"/>
  <c r="Q19" i="31" s="1"/>
  <c r="R17" i="31"/>
  <c r="P17" i="31"/>
  <c r="Q17" i="31" s="1"/>
  <c r="R15" i="31"/>
  <c r="P15" i="31"/>
  <c r="J14" i="31"/>
  <c r="M14" i="31" s="1"/>
  <c r="H24" i="31"/>
  <c r="M22" i="31"/>
  <c r="M18" i="31"/>
  <c r="P20" i="31"/>
  <c r="Q20" i="31" s="1"/>
  <c r="P16" i="31"/>
  <c r="O24" i="31"/>
  <c r="O39" i="31" s="1"/>
  <c r="D30" i="14" s="1"/>
  <c r="Q14" i="30"/>
  <c r="C29" i="14"/>
  <c r="M14" i="30"/>
  <c r="M23" i="30"/>
  <c r="M21" i="30"/>
  <c r="M19" i="30"/>
  <c r="M17" i="30"/>
  <c r="M15" i="30"/>
  <c r="M20" i="30"/>
  <c r="P22" i="30"/>
  <c r="Q22" i="30" s="1"/>
  <c r="P18" i="30"/>
  <c r="Q18" i="30" s="1"/>
  <c r="R23" i="30"/>
  <c r="R19" i="30"/>
  <c r="R15" i="30"/>
  <c r="M16" i="30"/>
  <c r="R14" i="30"/>
  <c r="O24" i="29"/>
  <c r="R14" i="29"/>
  <c r="P14" i="29"/>
  <c r="R23" i="29"/>
  <c r="R19" i="29"/>
  <c r="R15" i="29"/>
  <c r="M14" i="29"/>
  <c r="M21" i="29"/>
  <c r="M17" i="29"/>
  <c r="L24" i="29"/>
  <c r="L39" i="29" s="1"/>
  <c r="H24" i="29"/>
  <c r="R23" i="28"/>
  <c r="P23" i="28"/>
  <c r="Q23" i="28" s="1"/>
  <c r="M22" i="28"/>
  <c r="R22" i="28"/>
  <c r="R21" i="28"/>
  <c r="P21" i="28"/>
  <c r="Q21" i="28" s="1"/>
  <c r="M20" i="28"/>
  <c r="R20" i="28"/>
  <c r="R19" i="28"/>
  <c r="P19" i="28"/>
  <c r="Q19" i="28" s="1"/>
  <c r="M18" i="28"/>
  <c r="R18" i="28"/>
  <c r="R17" i="28"/>
  <c r="P17" i="28"/>
  <c r="Q17" i="28" s="1"/>
  <c r="O24" i="28"/>
  <c r="O39" i="28" s="1"/>
  <c r="M16" i="28"/>
  <c r="R16" i="28"/>
  <c r="R15" i="28"/>
  <c r="P15" i="28"/>
  <c r="Q15" i="28" s="1"/>
  <c r="L24" i="28"/>
  <c r="Q14" i="28"/>
  <c r="J14" i="28"/>
  <c r="H24" i="28"/>
  <c r="M17" i="23"/>
  <c r="M19" i="23"/>
  <c r="P20" i="23"/>
  <c r="Q20" i="23" s="1"/>
  <c r="P18" i="23"/>
  <c r="Q18" i="23" s="1"/>
  <c r="L24" i="23"/>
  <c r="R19" i="23"/>
  <c r="R17" i="23"/>
  <c r="J14" i="23"/>
  <c r="H24" i="23"/>
  <c r="G37" i="23"/>
  <c r="H37" i="23" s="1"/>
  <c r="O37" i="23"/>
  <c r="E26" i="14" s="1"/>
  <c r="Q37" i="31"/>
  <c r="R37" i="31"/>
  <c r="L25" i="38" l="1"/>
  <c r="Q16" i="31"/>
  <c r="M25" i="38"/>
  <c r="J25" i="38"/>
  <c r="R25" i="38" s="1"/>
  <c r="R16" i="31"/>
  <c r="H25" i="38"/>
  <c r="Q15" i="31"/>
  <c r="Q39" i="38"/>
  <c r="R39" i="38"/>
  <c r="G51" i="31"/>
  <c r="G56" i="31" s="1"/>
  <c r="G52" i="38"/>
  <c r="Q38" i="38"/>
  <c r="R38" i="38"/>
  <c r="Q40" i="38"/>
  <c r="R40" i="38"/>
  <c r="P35" i="23"/>
  <c r="R39" i="29"/>
  <c r="G40" i="29"/>
  <c r="G51" i="29" s="1"/>
  <c r="G56" i="29" s="1"/>
  <c r="Q39" i="29"/>
  <c r="O40" i="23"/>
  <c r="O51" i="23" s="1"/>
  <c r="O56" i="23" s="1"/>
  <c r="H40" i="23"/>
  <c r="H51" i="23" s="1"/>
  <c r="H40" i="31"/>
  <c r="H40" i="30"/>
  <c r="H51" i="30" s="1"/>
  <c r="R24" i="29"/>
  <c r="O39" i="29"/>
  <c r="D28" i="14" s="1"/>
  <c r="H40" i="29"/>
  <c r="H51" i="29" s="1"/>
  <c r="G40" i="28"/>
  <c r="G51" i="28" s="1"/>
  <c r="G56" i="28" s="1"/>
  <c r="H39" i="28"/>
  <c r="H40" i="28" s="1"/>
  <c r="H51" i="28" s="1"/>
  <c r="G40" i="23"/>
  <c r="G51" i="23" s="1"/>
  <c r="G56" i="23" s="1"/>
  <c r="D27" i="14"/>
  <c r="G40" i="30"/>
  <c r="G51" i="30" s="1"/>
  <c r="G56" i="30" s="1"/>
  <c r="O40" i="30"/>
  <c r="Q40" i="30" s="1"/>
  <c r="L39" i="30"/>
  <c r="L39" i="23"/>
  <c r="L39" i="28"/>
  <c r="R24" i="30"/>
  <c r="J39" i="30"/>
  <c r="Q39" i="30"/>
  <c r="R39" i="30"/>
  <c r="E29" i="14"/>
  <c r="J35" i="23"/>
  <c r="R35" i="23" s="1"/>
  <c r="R28" i="23"/>
  <c r="L37" i="31"/>
  <c r="J37" i="30"/>
  <c r="J37" i="29"/>
  <c r="J40" i="29" s="1"/>
  <c r="L37" i="30"/>
  <c r="C30" i="14"/>
  <c r="O37" i="31"/>
  <c r="M24" i="31"/>
  <c r="M39" i="31" s="1"/>
  <c r="R14" i="31"/>
  <c r="J24" i="31"/>
  <c r="J39" i="31" s="1"/>
  <c r="P24" i="31"/>
  <c r="P39" i="31" s="1"/>
  <c r="M24" i="30"/>
  <c r="P24" i="30"/>
  <c r="Q14" i="29"/>
  <c r="P24" i="29"/>
  <c r="P39" i="29" s="1"/>
  <c r="C28" i="14"/>
  <c r="O37" i="29"/>
  <c r="M24" i="29"/>
  <c r="M39" i="29" s="1"/>
  <c r="L37" i="29"/>
  <c r="L40" i="29" s="1"/>
  <c r="P24" i="28"/>
  <c r="L37" i="28"/>
  <c r="C27" i="14"/>
  <c r="O37" i="28"/>
  <c r="O40" i="28" s="1"/>
  <c r="M14" i="28"/>
  <c r="M24" i="28" s="1"/>
  <c r="R14" i="28"/>
  <c r="J24" i="28"/>
  <c r="L37" i="23"/>
  <c r="P24" i="23"/>
  <c r="M14" i="23"/>
  <c r="M24" i="23" s="1"/>
  <c r="R14" i="23"/>
  <c r="J24" i="23"/>
  <c r="P25" i="38" l="1"/>
  <c r="Q25" i="38" s="1"/>
  <c r="L40" i="31"/>
  <c r="L41" i="38"/>
  <c r="L52" i="38" s="1"/>
  <c r="H51" i="31"/>
  <c r="H56" i="31" s="1"/>
  <c r="H52" i="38"/>
  <c r="G55" i="31"/>
  <c r="O40" i="31"/>
  <c r="O51" i="31" s="1"/>
  <c r="O41" i="38"/>
  <c r="H56" i="23"/>
  <c r="B26" i="14"/>
  <c r="O40" i="29"/>
  <c r="G55" i="29"/>
  <c r="H56" i="30"/>
  <c r="H55" i="30"/>
  <c r="B29" i="14"/>
  <c r="H56" i="29"/>
  <c r="B28" i="14"/>
  <c r="H55" i="29"/>
  <c r="H56" i="28"/>
  <c r="B27" i="14"/>
  <c r="H55" i="28"/>
  <c r="O51" i="30"/>
  <c r="O55" i="30" s="1"/>
  <c r="L40" i="23"/>
  <c r="L51" i="23" s="1"/>
  <c r="G55" i="28"/>
  <c r="L40" i="28"/>
  <c r="L51" i="28" s="1"/>
  <c r="L55" i="28" s="1"/>
  <c r="J40" i="30"/>
  <c r="J51" i="30" s="1"/>
  <c r="J55" i="30" s="1"/>
  <c r="L40" i="30"/>
  <c r="L51" i="30" s="1"/>
  <c r="M39" i="28"/>
  <c r="P39" i="30"/>
  <c r="M39" i="30"/>
  <c r="M39" i="23"/>
  <c r="P39" i="23"/>
  <c r="Q39" i="23" s="1"/>
  <c r="G55" i="30"/>
  <c r="R37" i="30"/>
  <c r="Q24" i="28"/>
  <c r="P39" i="28"/>
  <c r="Q39" i="28" s="1"/>
  <c r="R24" i="28"/>
  <c r="J39" i="28"/>
  <c r="R39" i="28" s="1"/>
  <c r="R24" i="23"/>
  <c r="J39" i="23"/>
  <c r="R39" i="23" s="1"/>
  <c r="L51" i="29"/>
  <c r="L51" i="31"/>
  <c r="I30" i="14" s="1"/>
  <c r="H55" i="23"/>
  <c r="P37" i="28"/>
  <c r="Q37" i="28" s="1"/>
  <c r="O51" i="28"/>
  <c r="J51" i="29"/>
  <c r="P37" i="31"/>
  <c r="Q24" i="31"/>
  <c r="J37" i="31"/>
  <c r="R24" i="31"/>
  <c r="M37" i="31"/>
  <c r="E30" i="14"/>
  <c r="M37" i="30"/>
  <c r="Q24" i="30"/>
  <c r="P37" i="30"/>
  <c r="Q37" i="30" s="1"/>
  <c r="R37" i="29"/>
  <c r="E28" i="14"/>
  <c r="P37" i="29"/>
  <c r="P40" i="29" s="1"/>
  <c r="Q24" i="29"/>
  <c r="D31" i="14"/>
  <c r="C31" i="14"/>
  <c r="M37" i="29"/>
  <c r="M40" i="29" s="1"/>
  <c r="E27" i="14"/>
  <c r="J37" i="28"/>
  <c r="R37" i="28" s="1"/>
  <c r="M37" i="28"/>
  <c r="P37" i="23"/>
  <c r="Q24" i="23"/>
  <c r="O53" i="23"/>
  <c r="G55" i="23"/>
  <c r="J37" i="23"/>
  <c r="R37" i="23" s="1"/>
  <c r="M37" i="23"/>
  <c r="H55" i="31" l="1"/>
  <c r="B30" i="14"/>
  <c r="B31" i="14" s="1"/>
  <c r="O52" i="38"/>
  <c r="M40" i="31"/>
  <c r="M51" i="31" s="1"/>
  <c r="M41" i="38"/>
  <c r="M52" i="38" s="1"/>
  <c r="J40" i="31"/>
  <c r="J52" i="38" s="1"/>
  <c r="P40" i="31"/>
  <c r="P51" i="31" s="1"/>
  <c r="P41" i="38"/>
  <c r="Q41" i="38" s="1"/>
  <c r="Q40" i="29"/>
  <c r="G26" i="14"/>
  <c r="B16" i="14"/>
  <c r="O51" i="29"/>
  <c r="O55" i="29" s="1"/>
  <c r="L56" i="23"/>
  <c r="I26" i="14"/>
  <c r="O53" i="30"/>
  <c r="G29" i="14" s="1"/>
  <c r="L29" i="14" s="1"/>
  <c r="O56" i="30"/>
  <c r="P40" i="23"/>
  <c r="Q40" i="23" s="1"/>
  <c r="M40" i="28"/>
  <c r="M51" i="28" s="1"/>
  <c r="M40" i="30"/>
  <c r="M51" i="30" s="1"/>
  <c r="J56" i="30"/>
  <c r="M40" i="23"/>
  <c r="M51" i="23" s="1"/>
  <c r="M56" i="23" s="1"/>
  <c r="H29" i="14"/>
  <c r="P40" i="28"/>
  <c r="J40" i="23"/>
  <c r="J51" i="23" s="1"/>
  <c r="H26" i="14" s="1"/>
  <c r="P40" i="30"/>
  <c r="R51" i="30"/>
  <c r="J40" i="28"/>
  <c r="J51" i="28" s="1"/>
  <c r="L56" i="31"/>
  <c r="I27" i="14"/>
  <c r="L56" i="28"/>
  <c r="L55" i="31"/>
  <c r="L55" i="23"/>
  <c r="O56" i="31"/>
  <c r="O55" i="31"/>
  <c r="O56" i="28"/>
  <c r="O55" i="28"/>
  <c r="L56" i="29"/>
  <c r="L55" i="29"/>
  <c r="J56" i="29"/>
  <c r="J55" i="29"/>
  <c r="L56" i="30"/>
  <c r="L55" i="30"/>
  <c r="I29" i="14"/>
  <c r="H28" i="14"/>
  <c r="M51" i="29"/>
  <c r="E31" i="14"/>
  <c r="I28" i="14"/>
  <c r="P51" i="29"/>
  <c r="Q37" i="29"/>
  <c r="Q37" i="23"/>
  <c r="O55" i="23"/>
  <c r="L23" i="14"/>
  <c r="P53" i="23"/>
  <c r="Q53" i="23" s="1"/>
  <c r="J51" i="31" l="1"/>
  <c r="J55" i="31" s="1"/>
  <c r="O56" i="29"/>
  <c r="P51" i="28"/>
  <c r="P55" i="28" s="1"/>
  <c r="Q55" i="28" s="1"/>
  <c r="Q40" i="28"/>
  <c r="L26" i="14"/>
  <c r="J26" i="14"/>
  <c r="K26" i="14" s="1"/>
  <c r="G5" i="30"/>
  <c r="P53" i="30"/>
  <c r="Q53" i="30" s="1"/>
  <c r="J55" i="23"/>
  <c r="J56" i="23"/>
  <c r="M56" i="30"/>
  <c r="M55" i="30"/>
  <c r="R51" i="28"/>
  <c r="J56" i="28"/>
  <c r="J55" i="28"/>
  <c r="M56" i="28"/>
  <c r="M55" i="28"/>
  <c r="P56" i="29"/>
  <c r="Q56" i="29" s="1"/>
  <c r="P55" i="29"/>
  <c r="Q55" i="29" s="1"/>
  <c r="P56" i="31"/>
  <c r="P55" i="31"/>
  <c r="M56" i="31"/>
  <c r="M55" i="31"/>
  <c r="M56" i="29"/>
  <c r="M55" i="29"/>
  <c r="I31" i="14"/>
  <c r="P51" i="30"/>
  <c r="Q40" i="31"/>
  <c r="O53" i="31"/>
  <c r="Q51" i="31"/>
  <c r="R51" i="29"/>
  <c r="O53" i="29"/>
  <c r="Q51" i="29"/>
  <c r="H27" i="14"/>
  <c r="O53" i="28"/>
  <c r="P51" i="23"/>
  <c r="P55" i="23" s="1"/>
  <c r="Q55" i="23" s="1"/>
  <c r="R51" i="23"/>
  <c r="M55" i="23"/>
  <c r="J23" i="14"/>
  <c r="K23" i="14" s="1"/>
  <c r="J29" i="14"/>
  <c r="K29" i="14" s="1"/>
  <c r="Q56" i="31" l="1"/>
  <c r="Q55" i="31"/>
  <c r="H30" i="14"/>
  <c r="H31" i="14" s="1"/>
  <c r="J56" i="31"/>
  <c r="R51" i="31"/>
  <c r="R53" i="31"/>
  <c r="G6" i="38"/>
  <c r="Q51" i="28"/>
  <c r="P56" i="28"/>
  <c r="Q56" i="28" s="1"/>
  <c r="B15" i="14"/>
  <c r="B17" i="14" s="1"/>
  <c r="B18" i="14" s="1"/>
  <c r="C19" i="14" s="1"/>
  <c r="Q51" i="30"/>
  <c r="P56" i="30"/>
  <c r="Q56" i="30" s="1"/>
  <c r="P55" i="30"/>
  <c r="Q55" i="30" s="1"/>
  <c r="Q51" i="23"/>
  <c r="P56" i="23"/>
  <c r="Q56" i="23" s="1"/>
  <c r="G5" i="31"/>
  <c r="G30" i="14"/>
  <c r="L30" i="14" s="1"/>
  <c r="P53" i="31"/>
  <c r="G5" i="29"/>
  <c r="G28" i="14"/>
  <c r="L28" i="14" s="1"/>
  <c r="P53" i="29"/>
  <c r="Q53" i="29" s="1"/>
  <c r="G5" i="28"/>
  <c r="P53" i="28"/>
  <c r="Q53" i="28" s="1"/>
  <c r="G27" i="14"/>
  <c r="L27" i="14" s="1"/>
  <c r="Q53" i="31" l="1"/>
  <c r="J30" i="14"/>
  <c r="K30" i="14" s="1"/>
  <c r="J28" i="14"/>
  <c r="K28" i="14" s="1"/>
  <c r="J27" i="14"/>
  <c r="K27" i="14" s="1"/>
  <c r="G31" i="14"/>
  <c r="L31" i="14" s="1"/>
  <c r="J31" i="14" l="1"/>
  <c r="K31" i="14" s="1"/>
</calcChain>
</file>

<file path=xl/comments1.xml><?xml version="1.0" encoding="utf-8"?>
<comments xmlns="http://schemas.openxmlformats.org/spreadsheetml/2006/main">
  <authors>
    <author>Glenn Berry</author>
    <author>maurm</author>
  </authors>
  <commentList>
    <comment ref="B14" authorId="0" shapeId="0">
      <text>
        <r>
          <rPr>
            <b/>
            <sz val="8"/>
            <color indexed="81"/>
            <rFont val="Tahoma"/>
            <family val="2"/>
          </rPr>
          <t>Pegasystems:</t>
        </r>
        <r>
          <rPr>
            <sz val="8"/>
            <color indexed="81"/>
            <rFont val="Tahoma"/>
            <family val="2"/>
          </rPr>
          <t xml:space="preserve">
Please specify names if the specific individual is a requirement.</t>
        </r>
      </text>
    </comment>
    <comment ref="G14"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B28" authorId="0" shapeId="0">
      <text>
        <r>
          <rPr>
            <b/>
            <sz val="8"/>
            <color indexed="81"/>
            <rFont val="Tahoma"/>
            <family val="2"/>
          </rPr>
          <t>Pegasystems:</t>
        </r>
        <r>
          <rPr>
            <sz val="8"/>
            <color indexed="81"/>
            <rFont val="Tahoma"/>
            <family val="2"/>
          </rPr>
          <t xml:space="preserve">
Please specify names if the specific individual is a requirement.</t>
        </r>
      </text>
    </comment>
    <comment ref="G28"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K28" authorId="1" shapeId="0">
      <text>
        <r>
          <rPr>
            <b/>
            <sz val="10"/>
            <color indexed="81"/>
            <rFont val="Tahoma"/>
            <family val="2"/>
          </rPr>
          <t>Pegasystems:</t>
        </r>
        <r>
          <rPr>
            <sz val="10"/>
            <color indexed="81"/>
            <rFont val="Tahoma"/>
            <family val="2"/>
          </rPr>
          <t xml:space="preserve">
Per Sub-Contractor Work Order.</t>
        </r>
      </text>
    </comment>
    <comment ref="G43"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List>
</comments>
</file>

<file path=xl/comments2.xml><?xml version="1.0" encoding="utf-8"?>
<comments xmlns="http://schemas.openxmlformats.org/spreadsheetml/2006/main">
  <authors>
    <author>Glenn Berry</author>
    <author>maurm</author>
  </authors>
  <commentList>
    <comment ref="B13" authorId="0" shapeId="0">
      <text>
        <r>
          <rPr>
            <b/>
            <sz val="8"/>
            <color indexed="81"/>
            <rFont val="Tahoma"/>
            <family val="2"/>
          </rPr>
          <t>Pegasystems:</t>
        </r>
        <r>
          <rPr>
            <sz val="8"/>
            <color indexed="81"/>
            <rFont val="Tahoma"/>
            <family val="2"/>
          </rPr>
          <t xml:space="preserve">
Please specify names if the specific individual is a requirement.</t>
        </r>
      </text>
    </comment>
    <comment ref="G13"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B27" authorId="0" shapeId="0">
      <text>
        <r>
          <rPr>
            <b/>
            <sz val="8"/>
            <color indexed="81"/>
            <rFont val="Tahoma"/>
            <family val="2"/>
          </rPr>
          <t>Pegasystems:</t>
        </r>
        <r>
          <rPr>
            <sz val="8"/>
            <color indexed="81"/>
            <rFont val="Tahoma"/>
            <family val="2"/>
          </rPr>
          <t xml:space="preserve">
Please specify names if the specific individual is a requirement.</t>
        </r>
      </text>
    </comment>
    <comment ref="G27"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K27" authorId="1" shapeId="0">
      <text>
        <r>
          <rPr>
            <b/>
            <sz val="10"/>
            <color indexed="81"/>
            <rFont val="Tahoma"/>
            <family val="2"/>
          </rPr>
          <t>Pegasystems:</t>
        </r>
        <r>
          <rPr>
            <sz val="10"/>
            <color indexed="81"/>
            <rFont val="Tahoma"/>
            <family val="2"/>
          </rPr>
          <t xml:space="preserve">
Per Sub-Contractor Work Order.</t>
        </r>
      </text>
    </comment>
    <comment ref="G42"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List>
</comments>
</file>

<file path=xl/comments3.xml><?xml version="1.0" encoding="utf-8"?>
<comments xmlns="http://schemas.openxmlformats.org/spreadsheetml/2006/main">
  <authors>
    <author>Glenn Berry</author>
    <author>maurm</author>
  </authors>
  <commentList>
    <comment ref="B13" authorId="0" shapeId="0">
      <text>
        <r>
          <rPr>
            <b/>
            <sz val="8"/>
            <color indexed="81"/>
            <rFont val="Tahoma"/>
            <family val="2"/>
          </rPr>
          <t>Pegasystems:</t>
        </r>
        <r>
          <rPr>
            <sz val="8"/>
            <color indexed="81"/>
            <rFont val="Tahoma"/>
            <family val="2"/>
          </rPr>
          <t xml:space="preserve">
Please specify names if the specific individual is a requirement.</t>
        </r>
      </text>
    </comment>
    <comment ref="G13"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B27" authorId="0" shapeId="0">
      <text>
        <r>
          <rPr>
            <b/>
            <sz val="8"/>
            <color indexed="81"/>
            <rFont val="Tahoma"/>
            <family val="2"/>
          </rPr>
          <t>Pegasystems:</t>
        </r>
        <r>
          <rPr>
            <sz val="8"/>
            <color indexed="81"/>
            <rFont val="Tahoma"/>
            <family val="2"/>
          </rPr>
          <t xml:space="preserve">
Please specify names if the specific individual is a requirement.</t>
        </r>
      </text>
    </comment>
    <comment ref="G27"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K27" authorId="1" shapeId="0">
      <text>
        <r>
          <rPr>
            <b/>
            <sz val="10"/>
            <color indexed="81"/>
            <rFont val="Tahoma"/>
            <family val="2"/>
          </rPr>
          <t>Pegasystems:</t>
        </r>
        <r>
          <rPr>
            <sz val="10"/>
            <color indexed="81"/>
            <rFont val="Tahoma"/>
            <family val="2"/>
          </rPr>
          <t xml:space="preserve">
Per Sub-Contractor Work Order.</t>
        </r>
      </text>
    </comment>
    <comment ref="G42"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List>
</comments>
</file>

<file path=xl/comments4.xml><?xml version="1.0" encoding="utf-8"?>
<comments xmlns="http://schemas.openxmlformats.org/spreadsheetml/2006/main">
  <authors>
    <author>Glenn Berry</author>
    <author>maurm</author>
  </authors>
  <commentList>
    <comment ref="B13" authorId="0" shapeId="0">
      <text>
        <r>
          <rPr>
            <b/>
            <sz val="8"/>
            <color indexed="81"/>
            <rFont val="Tahoma"/>
            <family val="2"/>
          </rPr>
          <t>Pegasystems:</t>
        </r>
        <r>
          <rPr>
            <sz val="8"/>
            <color indexed="81"/>
            <rFont val="Tahoma"/>
            <family val="2"/>
          </rPr>
          <t xml:space="preserve">
Please specify names if the specific individual is a requirement.</t>
        </r>
      </text>
    </comment>
    <comment ref="G13"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B27" authorId="0" shapeId="0">
      <text>
        <r>
          <rPr>
            <b/>
            <sz val="8"/>
            <color indexed="81"/>
            <rFont val="Tahoma"/>
            <family val="2"/>
          </rPr>
          <t>Pegasystems:</t>
        </r>
        <r>
          <rPr>
            <sz val="8"/>
            <color indexed="81"/>
            <rFont val="Tahoma"/>
            <family val="2"/>
          </rPr>
          <t xml:space="preserve">
Please specify names if the specific individual is a requirement.</t>
        </r>
      </text>
    </comment>
    <comment ref="G27"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K27" authorId="1" shapeId="0">
      <text>
        <r>
          <rPr>
            <b/>
            <sz val="10"/>
            <color indexed="81"/>
            <rFont val="Tahoma"/>
            <family val="2"/>
          </rPr>
          <t>Pegasystems:</t>
        </r>
        <r>
          <rPr>
            <sz val="10"/>
            <color indexed="81"/>
            <rFont val="Tahoma"/>
            <family val="2"/>
          </rPr>
          <t xml:space="preserve">
Per Sub-Contractor Work Order.</t>
        </r>
      </text>
    </comment>
    <comment ref="G42"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List>
</comments>
</file>

<file path=xl/comments5.xml><?xml version="1.0" encoding="utf-8"?>
<comments xmlns="http://schemas.openxmlformats.org/spreadsheetml/2006/main">
  <authors>
    <author>Glenn Berry</author>
    <author>maurm</author>
  </authors>
  <commentList>
    <comment ref="B14" authorId="0" shapeId="0">
      <text>
        <r>
          <rPr>
            <b/>
            <sz val="8"/>
            <color indexed="81"/>
            <rFont val="Tahoma"/>
            <family val="2"/>
          </rPr>
          <t>Pegasystems:</t>
        </r>
        <r>
          <rPr>
            <sz val="8"/>
            <color indexed="81"/>
            <rFont val="Tahoma"/>
            <family val="2"/>
          </rPr>
          <t xml:space="preserve">
Please specify names if the specific individual is a requirement.</t>
        </r>
      </text>
    </comment>
    <comment ref="G14"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B28" authorId="0" shapeId="0">
      <text>
        <r>
          <rPr>
            <b/>
            <sz val="8"/>
            <color indexed="81"/>
            <rFont val="Tahoma"/>
            <family val="2"/>
          </rPr>
          <t>Pegasystems:</t>
        </r>
        <r>
          <rPr>
            <sz val="8"/>
            <color indexed="81"/>
            <rFont val="Tahoma"/>
            <family val="2"/>
          </rPr>
          <t xml:space="preserve">
Please specify names if the specific individual is a requirement.</t>
        </r>
      </text>
    </comment>
    <comment ref="G28"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K28" authorId="1" shapeId="0">
      <text>
        <r>
          <rPr>
            <b/>
            <sz val="10"/>
            <color indexed="81"/>
            <rFont val="Tahoma"/>
            <family val="2"/>
          </rPr>
          <t>Pegasystems:</t>
        </r>
        <r>
          <rPr>
            <sz val="10"/>
            <color indexed="81"/>
            <rFont val="Tahoma"/>
            <family val="2"/>
          </rPr>
          <t xml:space="preserve">
Per Sub-Contractor Work Order.</t>
        </r>
      </text>
    </comment>
    <comment ref="G43"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List>
</comments>
</file>

<file path=xl/comments6.xml><?xml version="1.0" encoding="utf-8"?>
<comments xmlns="http://schemas.openxmlformats.org/spreadsheetml/2006/main">
  <authors>
    <author>Glenn Berry</author>
    <author>maurm</author>
  </authors>
  <commentList>
    <comment ref="B13" authorId="0" shapeId="0">
      <text>
        <r>
          <rPr>
            <b/>
            <sz val="8"/>
            <color indexed="81"/>
            <rFont val="Tahoma"/>
            <family val="2"/>
          </rPr>
          <t>Pegasystems:</t>
        </r>
        <r>
          <rPr>
            <sz val="8"/>
            <color indexed="81"/>
            <rFont val="Tahoma"/>
            <family val="2"/>
          </rPr>
          <t xml:space="preserve">
Please specify names if the specific individual is a requirement.</t>
        </r>
      </text>
    </comment>
    <comment ref="G13"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B27" authorId="0" shapeId="0">
      <text>
        <r>
          <rPr>
            <b/>
            <sz val="8"/>
            <color indexed="81"/>
            <rFont val="Tahoma"/>
            <family val="2"/>
          </rPr>
          <t>Pegasystems:</t>
        </r>
        <r>
          <rPr>
            <sz val="8"/>
            <color indexed="81"/>
            <rFont val="Tahoma"/>
            <family val="2"/>
          </rPr>
          <t xml:space="preserve">
Please specify names if the specific individual is a requirement.</t>
        </r>
      </text>
    </comment>
    <comment ref="G27"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K27" authorId="1" shapeId="0">
      <text>
        <r>
          <rPr>
            <b/>
            <sz val="10"/>
            <color indexed="81"/>
            <rFont val="Tahoma"/>
            <family val="2"/>
          </rPr>
          <t>Pegasystems:</t>
        </r>
        <r>
          <rPr>
            <sz val="10"/>
            <color indexed="81"/>
            <rFont val="Tahoma"/>
            <family val="2"/>
          </rPr>
          <t xml:space="preserve">
Per Sub-Contractor Work Order.</t>
        </r>
      </text>
    </comment>
    <comment ref="G42"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List>
</comments>
</file>

<file path=xl/comments7.xml><?xml version="1.0" encoding="utf-8"?>
<comments xmlns="http://schemas.openxmlformats.org/spreadsheetml/2006/main">
  <authors>
    <author>Glenn Berry</author>
    <author>maurm</author>
  </authors>
  <commentList>
    <comment ref="B13" authorId="0" shapeId="0">
      <text>
        <r>
          <rPr>
            <b/>
            <sz val="8"/>
            <color indexed="81"/>
            <rFont val="Tahoma"/>
            <family val="2"/>
          </rPr>
          <t>Pegasystems:</t>
        </r>
        <r>
          <rPr>
            <sz val="8"/>
            <color indexed="81"/>
            <rFont val="Tahoma"/>
            <family val="2"/>
          </rPr>
          <t xml:space="preserve">
Please specify names if the specific individual is a requirement.</t>
        </r>
      </text>
    </comment>
    <comment ref="G13"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B50" authorId="0" shapeId="0">
      <text>
        <r>
          <rPr>
            <b/>
            <sz val="8"/>
            <color indexed="81"/>
            <rFont val="Tahoma"/>
            <family val="2"/>
          </rPr>
          <t>Pegasystems:</t>
        </r>
        <r>
          <rPr>
            <sz val="8"/>
            <color indexed="81"/>
            <rFont val="Tahoma"/>
            <family val="2"/>
          </rPr>
          <t xml:space="preserve">
Please specify names if the specific individual is a requirement.</t>
        </r>
      </text>
    </comment>
    <comment ref="G50"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K50" authorId="1" shapeId="0">
      <text>
        <r>
          <rPr>
            <b/>
            <sz val="10"/>
            <color indexed="81"/>
            <rFont val="Tahoma"/>
            <family val="2"/>
          </rPr>
          <t>Pegasystems:</t>
        </r>
        <r>
          <rPr>
            <sz val="10"/>
            <color indexed="81"/>
            <rFont val="Tahoma"/>
            <family val="2"/>
          </rPr>
          <t xml:space="preserve">
Per Sub-Contractor Work Order.</t>
        </r>
      </text>
    </comment>
    <comment ref="G65"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List>
</comments>
</file>

<file path=xl/comments8.xml><?xml version="1.0" encoding="utf-8"?>
<comments xmlns="http://schemas.openxmlformats.org/spreadsheetml/2006/main">
  <authors>
    <author>Glenn Berry</author>
    <author>maurm</author>
  </authors>
  <commentList>
    <comment ref="B13" authorId="0" shapeId="0">
      <text>
        <r>
          <rPr>
            <b/>
            <sz val="8"/>
            <color indexed="81"/>
            <rFont val="Tahoma"/>
            <family val="2"/>
          </rPr>
          <t>Pegasystems:</t>
        </r>
        <r>
          <rPr>
            <sz val="8"/>
            <color indexed="81"/>
            <rFont val="Tahoma"/>
            <family val="2"/>
          </rPr>
          <t xml:space="preserve">
Please specify names if the specific individual is a requirement.</t>
        </r>
      </text>
    </comment>
    <comment ref="G13"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B27" authorId="0" shapeId="0">
      <text>
        <r>
          <rPr>
            <b/>
            <sz val="8"/>
            <color indexed="81"/>
            <rFont val="Tahoma"/>
            <family val="2"/>
          </rPr>
          <t>Pegasystems:</t>
        </r>
        <r>
          <rPr>
            <sz val="8"/>
            <color indexed="81"/>
            <rFont val="Tahoma"/>
            <family val="2"/>
          </rPr>
          <t xml:space="preserve">
Please specify names if the specific individual is a requirement.</t>
        </r>
      </text>
    </comment>
    <comment ref="G27"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K27" authorId="1" shapeId="0">
      <text>
        <r>
          <rPr>
            <b/>
            <sz val="10"/>
            <color indexed="81"/>
            <rFont val="Tahoma"/>
            <family val="2"/>
          </rPr>
          <t>Pegasystems:</t>
        </r>
        <r>
          <rPr>
            <sz val="10"/>
            <color indexed="81"/>
            <rFont val="Tahoma"/>
            <family val="2"/>
          </rPr>
          <t xml:space="preserve">
Per Sub-Contractor Work Order.</t>
        </r>
      </text>
    </comment>
    <comment ref="G42"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List>
</comments>
</file>

<file path=xl/comments9.xml><?xml version="1.0" encoding="utf-8"?>
<comments xmlns="http://schemas.openxmlformats.org/spreadsheetml/2006/main">
  <authors>
    <author>Glenn Berry</author>
    <author>maurm</author>
  </authors>
  <commentList>
    <comment ref="B13" authorId="0" shapeId="0">
      <text>
        <r>
          <rPr>
            <b/>
            <sz val="8"/>
            <color indexed="81"/>
            <rFont val="Tahoma"/>
            <family val="2"/>
          </rPr>
          <t>Pegasystems:</t>
        </r>
        <r>
          <rPr>
            <sz val="8"/>
            <color indexed="81"/>
            <rFont val="Tahoma"/>
            <family val="2"/>
          </rPr>
          <t xml:space="preserve">
Please specify names if the specific individual is a requirement.</t>
        </r>
      </text>
    </comment>
    <comment ref="G13"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B27" authorId="0" shapeId="0">
      <text>
        <r>
          <rPr>
            <b/>
            <sz val="8"/>
            <color indexed="81"/>
            <rFont val="Tahoma"/>
            <family val="2"/>
          </rPr>
          <t>Pegasystems:</t>
        </r>
        <r>
          <rPr>
            <sz val="8"/>
            <color indexed="81"/>
            <rFont val="Tahoma"/>
            <family val="2"/>
          </rPr>
          <t xml:space="preserve">
Please specify names if the specific individual is a requirement.</t>
        </r>
      </text>
    </comment>
    <comment ref="G27"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K27" authorId="1" shapeId="0">
      <text>
        <r>
          <rPr>
            <b/>
            <sz val="10"/>
            <color indexed="81"/>
            <rFont val="Tahoma"/>
            <family val="2"/>
          </rPr>
          <t>Pegasystems:</t>
        </r>
        <r>
          <rPr>
            <sz val="10"/>
            <color indexed="81"/>
            <rFont val="Tahoma"/>
            <family val="2"/>
          </rPr>
          <t xml:space="preserve">
Per Sub-Contractor Work Order.</t>
        </r>
      </text>
    </comment>
    <comment ref="G42"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List>
</comments>
</file>

<file path=xl/comments10.xml><?xml version="1.0" encoding="utf-8"?>
<comments xmlns="http://schemas.openxmlformats.org/spreadsheetml/2006/main">
  <authors>
    <author>Glenn Berry</author>
    <author>maurm</author>
  </authors>
  <commentList>
    <comment ref="B13" authorId="0" shapeId="0">
      <text>
        <r>
          <rPr>
            <b/>
            <sz val="8"/>
            <color indexed="81"/>
            <rFont val="Tahoma"/>
            <family val="2"/>
          </rPr>
          <t>Pegasystems:</t>
        </r>
        <r>
          <rPr>
            <sz val="8"/>
            <color indexed="81"/>
            <rFont val="Tahoma"/>
            <family val="2"/>
          </rPr>
          <t xml:space="preserve">
Please specify names if the specific individual is a requirement.</t>
        </r>
      </text>
    </comment>
    <comment ref="G13"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B27" authorId="0" shapeId="0">
      <text>
        <r>
          <rPr>
            <b/>
            <sz val="8"/>
            <color indexed="81"/>
            <rFont val="Tahoma"/>
            <family val="2"/>
          </rPr>
          <t>Pegasystems:</t>
        </r>
        <r>
          <rPr>
            <sz val="8"/>
            <color indexed="81"/>
            <rFont val="Tahoma"/>
            <family val="2"/>
          </rPr>
          <t xml:space="preserve">
Please specify names if the specific individual is a requirement.</t>
        </r>
      </text>
    </comment>
    <comment ref="G27"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K27" authorId="1" shapeId="0">
      <text>
        <r>
          <rPr>
            <b/>
            <sz val="10"/>
            <color indexed="81"/>
            <rFont val="Tahoma"/>
            <family val="2"/>
          </rPr>
          <t>Pegasystems:</t>
        </r>
        <r>
          <rPr>
            <sz val="10"/>
            <color indexed="81"/>
            <rFont val="Tahoma"/>
            <family val="2"/>
          </rPr>
          <t xml:space="preserve">
Per Sub-Contractor Work Order.</t>
        </r>
      </text>
    </comment>
    <comment ref="G42"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List>
</comments>
</file>

<file path=xl/comments11.xml><?xml version="1.0" encoding="utf-8"?>
<comments xmlns="http://schemas.openxmlformats.org/spreadsheetml/2006/main">
  <authors>
    <author>Glenn Berry</author>
    <author>maurm</author>
  </authors>
  <commentList>
    <comment ref="B13" authorId="0" shapeId="0">
      <text>
        <r>
          <rPr>
            <b/>
            <sz val="8"/>
            <color indexed="81"/>
            <rFont val="Tahoma"/>
            <family val="2"/>
          </rPr>
          <t>Pegasystems:</t>
        </r>
        <r>
          <rPr>
            <sz val="8"/>
            <color indexed="81"/>
            <rFont val="Tahoma"/>
            <family val="2"/>
          </rPr>
          <t xml:space="preserve">
Please specify names if the specific individual is a requirement.</t>
        </r>
      </text>
    </comment>
    <comment ref="G13"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B27" authorId="0" shapeId="0">
      <text>
        <r>
          <rPr>
            <b/>
            <sz val="8"/>
            <color indexed="81"/>
            <rFont val="Tahoma"/>
            <family val="2"/>
          </rPr>
          <t>Pegasystems:</t>
        </r>
        <r>
          <rPr>
            <sz val="8"/>
            <color indexed="81"/>
            <rFont val="Tahoma"/>
            <family val="2"/>
          </rPr>
          <t xml:space="preserve">
Please specify names if the specific individual is a requirement.</t>
        </r>
      </text>
    </comment>
    <comment ref="G27"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K27" authorId="1" shapeId="0">
      <text>
        <r>
          <rPr>
            <b/>
            <sz val="10"/>
            <color indexed="81"/>
            <rFont val="Tahoma"/>
            <family val="2"/>
          </rPr>
          <t>Pegasystems:</t>
        </r>
        <r>
          <rPr>
            <sz val="10"/>
            <color indexed="81"/>
            <rFont val="Tahoma"/>
            <family val="2"/>
          </rPr>
          <t xml:space="preserve">
Per Sub-Contractor Work Order.</t>
        </r>
      </text>
    </comment>
    <comment ref="G42"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List>
</comments>
</file>

<file path=xl/sharedStrings.xml><?xml version="1.0" encoding="utf-8"?>
<sst xmlns="http://schemas.openxmlformats.org/spreadsheetml/2006/main" count="1407" uniqueCount="258">
  <si>
    <t>Customer Name:</t>
  </si>
  <si>
    <t>Fixed Price</t>
  </si>
  <si>
    <t>Phase:</t>
  </si>
  <si>
    <t>Billing Type:</t>
  </si>
  <si>
    <t>Start:</t>
  </si>
  <si>
    <t>End:</t>
  </si>
  <si>
    <t>Quote or Estimate:</t>
  </si>
  <si>
    <t>Allocation</t>
  </si>
  <si>
    <t>Cost</t>
  </si>
  <si>
    <t>Roles</t>
  </si>
  <si>
    <t>List Price</t>
  </si>
  <si>
    <t>Pegasystems Subtotal</t>
  </si>
  <si>
    <t>Contractor</t>
  </si>
  <si>
    <t>Contractor Subtotal</t>
  </si>
  <si>
    <t>Contingency</t>
  </si>
  <si>
    <t>Risk</t>
  </si>
  <si>
    <t>Non-Reimbursable Expenses</t>
  </si>
  <si>
    <t>Project Total</t>
  </si>
  <si>
    <t>T&amp;M</t>
  </si>
  <si>
    <t>Staff Enhancement</t>
  </si>
  <si>
    <t>Days Effort</t>
  </si>
  <si>
    <t>List Margin</t>
  </si>
  <si>
    <t>Sales Price</t>
  </si>
  <si>
    <t>Margin (%)</t>
  </si>
  <si>
    <t>Discount %</t>
  </si>
  <si>
    <t>Reason</t>
  </si>
  <si>
    <t>Total</t>
  </si>
  <si>
    <t xml:space="preserve">Risks </t>
  </si>
  <si>
    <t>Assumptions</t>
  </si>
  <si>
    <t>Summary</t>
  </si>
  <si>
    <t>Total Price</t>
  </si>
  <si>
    <t>Total Cost</t>
  </si>
  <si>
    <t>Total Margin</t>
  </si>
  <si>
    <t>Margin %</t>
  </si>
  <si>
    <t>SE</t>
  </si>
  <si>
    <t>Practice Leader - NA</t>
  </si>
  <si>
    <t>Practice Leader - EU</t>
  </si>
  <si>
    <t>Practice Leader - AP</t>
  </si>
  <si>
    <t>Engagement Leader - NA</t>
  </si>
  <si>
    <t>Engagement Leader - EU</t>
  </si>
  <si>
    <t>Engagement Leader - AP</t>
  </si>
  <si>
    <t>Principal System Architect - NA</t>
  </si>
  <si>
    <t>Principal System Architect - EU</t>
  </si>
  <si>
    <t>Principal System Architect - AP</t>
  </si>
  <si>
    <t>Lead System Architect - NA</t>
  </si>
  <si>
    <t>Lead System Architect - EU</t>
  </si>
  <si>
    <t>Lead System Architect - AP</t>
  </si>
  <si>
    <t>Senior System Architect - NA</t>
  </si>
  <si>
    <t>Senior System Architect - EU</t>
  </si>
  <si>
    <t>Senior System Architect - AP</t>
  </si>
  <si>
    <t>System Architect - NA</t>
  </si>
  <si>
    <t>System Architect - EU</t>
  </si>
  <si>
    <t>System Architect - AP</t>
  </si>
  <si>
    <t>SE Total</t>
  </si>
  <si>
    <t>Role</t>
  </si>
  <si>
    <t>Name</t>
  </si>
  <si>
    <t>Start Date</t>
  </si>
  <si>
    <t>End Date</t>
  </si>
  <si>
    <t>Total List Fees</t>
  </si>
  <si>
    <t>Unit Cost</t>
  </si>
  <si>
    <t>Total Fees</t>
  </si>
  <si>
    <t>Direct Fees</t>
  </si>
  <si>
    <t>Sale Price</t>
  </si>
  <si>
    <t>USD</t>
  </si>
  <si>
    <t xml:space="preserve"> # Hours</t>
  </si>
  <si>
    <t>GBP</t>
  </si>
  <si>
    <t>EUR</t>
  </si>
  <si>
    <t>AUD</t>
  </si>
  <si>
    <t>PLGON/SA</t>
  </si>
  <si>
    <t>PLGON/SSA</t>
  </si>
  <si>
    <t>PLGOFF/SA</t>
  </si>
  <si>
    <t>PLGOFF/SSA</t>
  </si>
  <si>
    <t>Currency</t>
  </si>
  <si>
    <t>List</t>
  </si>
  <si>
    <t>Euro</t>
  </si>
  <si>
    <t>Conception</t>
  </si>
  <si>
    <t>Elaboration</t>
  </si>
  <si>
    <t>Construction</t>
  </si>
  <si>
    <t>Transition</t>
  </si>
  <si>
    <t>BSW cannot be approved without this worksheet being filled out</t>
  </si>
  <si>
    <t>Elaboration Total</t>
  </si>
  <si>
    <t>Construction Total</t>
  </si>
  <si>
    <t>Transition Total</t>
  </si>
  <si>
    <t>Hrs Effort</t>
  </si>
  <si>
    <t>Daily Hours: 8 hrs or 9 hrs</t>
  </si>
  <si>
    <t>Hourly</t>
  </si>
  <si>
    <t xml:space="preserve">Amount </t>
  </si>
  <si>
    <t>USD to EURO</t>
  </si>
  <si>
    <t>USD to GBP</t>
  </si>
  <si>
    <t>USD to AUD</t>
  </si>
  <si>
    <t>GBP to AUD</t>
  </si>
  <si>
    <t>GBP to EUR</t>
  </si>
  <si>
    <t>New License Deal Y/N</t>
  </si>
  <si>
    <t>Estimate is requesting a RANGE only (LOW-HIGH).</t>
  </si>
  <si>
    <t>Method of Delivery</t>
  </si>
  <si>
    <t>What is the method of delivery - who is leading?</t>
  </si>
  <si>
    <t>Region</t>
  </si>
  <si>
    <t>Inception</t>
  </si>
  <si>
    <t>Inception Total</t>
  </si>
  <si>
    <t>Practice Leader</t>
  </si>
  <si>
    <t>Engagement Leader</t>
  </si>
  <si>
    <t>Lead System Architect</t>
  </si>
  <si>
    <t>Senior System Architect</t>
  </si>
  <si>
    <t>System Architect</t>
  </si>
  <si>
    <t>Lead Business Architect</t>
  </si>
  <si>
    <t>Senior Business Architect</t>
  </si>
  <si>
    <t>Business Architect</t>
  </si>
  <si>
    <t>REGION-CURR</t>
  </si>
  <si>
    <t>NA-USD</t>
  </si>
  <si>
    <t>NA-GBP</t>
  </si>
  <si>
    <t>NA-EURO</t>
  </si>
  <si>
    <t>NA-AUD</t>
  </si>
  <si>
    <t>EU-USD</t>
  </si>
  <si>
    <t>EU-GBP</t>
  </si>
  <si>
    <t>EU-EURO</t>
  </si>
  <si>
    <t>EU-AUD</t>
  </si>
  <si>
    <t>APAC-USD</t>
  </si>
  <si>
    <t>APAC-GBP</t>
  </si>
  <si>
    <t>APAC-EURO</t>
  </si>
  <si>
    <t>APAC-AUD</t>
  </si>
  <si>
    <t>NA/USD cost</t>
  </si>
  <si>
    <t>USD/GBP</t>
  </si>
  <si>
    <t>USD/EUR</t>
  </si>
  <si>
    <t>USD/AUD</t>
  </si>
  <si>
    <t>GBP/USD</t>
  </si>
  <si>
    <t>GBP/AUD</t>
  </si>
  <si>
    <t>AUD/GBP</t>
  </si>
  <si>
    <t>AUD/EUR</t>
  </si>
  <si>
    <t>AUD/USD</t>
  </si>
  <si>
    <t>EUR/USD</t>
  </si>
  <si>
    <t>EUR/AUD</t>
  </si>
  <si>
    <t>NA/AUD cost</t>
  </si>
  <si>
    <t>NA/EUR cost</t>
  </si>
  <si>
    <t>EU/USD cost</t>
  </si>
  <si>
    <t>EU/AUD</t>
  </si>
  <si>
    <t>AP/USD</t>
  </si>
  <si>
    <t>AP/GBP</t>
  </si>
  <si>
    <t>AP/EUR</t>
  </si>
  <si>
    <t>NA</t>
  </si>
  <si>
    <t>EU</t>
  </si>
  <si>
    <t>APAC</t>
  </si>
  <si>
    <t>EURO</t>
  </si>
  <si>
    <t>Average Rate</t>
  </si>
  <si>
    <t>User Experience Architect</t>
  </si>
  <si>
    <t>Associate System Architect SPAIN</t>
  </si>
  <si>
    <t>Customer</t>
  </si>
  <si>
    <t>Subtotal Customer</t>
  </si>
  <si>
    <t>Subtotal Pega+Contractor</t>
  </si>
  <si>
    <t xml:space="preserve">Phase Summaries </t>
  </si>
  <si>
    <t>Effectiveness</t>
  </si>
  <si>
    <t>Market:</t>
  </si>
  <si>
    <t>Associate System Architect</t>
  </si>
  <si>
    <t>SPAIN</t>
  </si>
  <si>
    <t>FRANCE</t>
  </si>
  <si>
    <t>DACH</t>
  </si>
  <si>
    <t>AUS</t>
  </si>
  <si>
    <t>HONG KONG</t>
  </si>
  <si>
    <t>not used</t>
  </si>
  <si>
    <t>BENELUX</t>
  </si>
  <si>
    <t>Estimate +%</t>
  </si>
  <si>
    <t>Estimate -%</t>
  </si>
  <si>
    <t>Margin Target</t>
  </si>
  <si>
    <t>Deployment Architect</t>
  </si>
  <si>
    <t>JAPAN</t>
  </si>
  <si>
    <t>Engagement Name:</t>
  </si>
  <si>
    <t>Pega = Pega Led</t>
  </si>
  <si>
    <t>Partner = Partner Led</t>
  </si>
  <si>
    <t>Is this bid associated with a new SOFTWARE LICENSE?</t>
  </si>
  <si>
    <t>(If you enter Customer Name and Engagement Name here it will default to other tabs)</t>
  </si>
  <si>
    <t>Principal System Architect</t>
  </si>
  <si>
    <t>Principal Business Architect</t>
  </si>
  <si>
    <t>PLPP = Pega Led, Partner Powered</t>
  </si>
  <si>
    <t>T&amp;M Risk</t>
  </si>
  <si>
    <t>Fixed Price Risk (+ additional)</t>
  </si>
  <si>
    <t>Additional Risk</t>
  </si>
  <si>
    <t>T&amp;M or Fixed Price</t>
  </si>
  <si>
    <t>UK-GBP</t>
  </si>
  <si>
    <t>UK-EURO</t>
  </si>
  <si>
    <t>Customer =  Customer Led (includes co-production model)</t>
  </si>
  <si>
    <t>Lead Decisioning Architect</t>
  </si>
  <si>
    <t>Senior Decisioning Architect</t>
  </si>
  <si>
    <t>RUSSIA</t>
  </si>
  <si>
    <t>RATE CARD</t>
  </si>
  <si>
    <t>USE THIS TAB WHEN YOU JUST NEED A RATE CARD FOR THE MSA</t>
  </si>
  <si>
    <t>UK-USD</t>
  </si>
  <si>
    <t>TURKEY-USD</t>
  </si>
  <si>
    <t>TURKEY-TKL</t>
  </si>
  <si>
    <t>Sprint Zero</t>
  </si>
  <si>
    <t>Sprint 1-N</t>
  </si>
  <si>
    <t>Sprint Z</t>
  </si>
  <si>
    <t>SPRINT ZERO</t>
  </si>
  <si>
    <t>SPRINT 1-N</t>
  </si>
  <si>
    <t>SPRINT Z</t>
  </si>
  <si>
    <t>THESE RATES ARE NOT USED!!!!!!!!!!!!!!!!!!!</t>
  </si>
  <si>
    <t>NOT USED</t>
  </si>
  <si>
    <t>N</t>
  </si>
  <si>
    <t xml:space="preserve">Sprint Z </t>
  </si>
  <si>
    <t>SPRINT ZERO Total</t>
  </si>
  <si>
    <t>SPRINT 1-N Total</t>
  </si>
  <si>
    <t>SPRINT Z Total</t>
  </si>
  <si>
    <t>Sprint-0 (required Sprint)</t>
  </si>
  <si>
    <t>Sprint-0 is a fixed duration, fixed resource sprint that helps to organize the assets needed to execute the first targeted project and prepare for executing the first Sprint.  Purpose of Sprint-0 is to focus the project team’s efforts around a single proposed project.  Tasks include running Application Express, determining which methodology is best to use, and begin the capture of the required assets for estimating the effort associated with the project.  Based on these assets captured as part of the DCO process an Application Profile and Sizing can be auto generated.  If the application Proposal is accepted by the client and the SOW is approved the team will then begin the project preparation. If the team is using Scrum they will then begin the process of getting the product Backlog in order and groomed with a minimum of two sprints worth of implementable User Stories.  Sprint-0 is heavily focused on the business side tasks (outside of the environment setup resources) and therefore the resource pool should reflect that.  Sprint-0 resources should also account for setting up the development standards that the development sprints will need to adhere to.  As an example the UI Design Model should be setup during Sprint-0 and therefore the appropriate UI resources should be allocated.</t>
  </si>
  <si>
    <t>Sprint- 1-n (required sprints)</t>
  </si>
  <si>
    <t xml:space="preserve">Sprints 1-n are the fixed duration, fixed resource sprints where the targeted Sprint scope is configured, tested, document, and the “Definition of Done” is achieved for a working increment of the software.  These sprints must include a completely cross-functional team that can successfully achieve the goals of the User Stories pulled into the Sprint.  The resource pool should account for UI resources to assist with the implementation of the UI Design Model that was created during Sprint-0.    </t>
  </si>
  <si>
    <t>Sprint- z (optional Sprint)</t>
  </si>
  <si>
    <t>Sprint-z is a fixed duration, fixed resource sprint that is optional.  Sprint-z is normally used for hardening, Performance testing, UAT and Full SIT on a final polished release candidate.  The release candidate does not need to reflect the entire application scope it can be focused on a number of developments sprints that produce a working increment that can add business value and therefore is being looked at as a go-live asset.   You may choose to have multiple Sprint-z (normally smaller) for each go-live iteration.  Sprint-z is not a QA sprint as all the QA tasks should have been executed within the sprints and working increments of high quality segments of the application should be produced.  Sprint-z is only used when it is required to perform a specific task on the final completed application</t>
  </si>
  <si>
    <t>POLAND-ONSITE LSA</t>
  </si>
  <si>
    <t>POLAND-ONSITE SSA</t>
  </si>
  <si>
    <t>POLAND-ONSITE SA</t>
  </si>
  <si>
    <t>POLAND-OFFSITE LSA</t>
  </si>
  <si>
    <t>POLAND-OFFSITE SSA</t>
  </si>
  <si>
    <t>POLAND-OFFSITE SA</t>
  </si>
  <si>
    <t>INDIA - EL</t>
  </si>
  <si>
    <t>INDIA - SBA</t>
  </si>
  <si>
    <t>INDIA - LSA</t>
  </si>
  <si>
    <t>INDIA - SSA</t>
  </si>
  <si>
    <t>INDIA - SA</t>
  </si>
  <si>
    <t>INDIA - ASA</t>
  </si>
  <si>
    <t>Engagement implementation type</t>
  </si>
  <si>
    <t>Account Name</t>
  </si>
  <si>
    <t>Organization</t>
  </si>
  <si>
    <t>Led By</t>
  </si>
  <si>
    <t>Engagement Methodology</t>
  </si>
  <si>
    <t>Enter Organization name</t>
  </si>
  <si>
    <t>Methodology of the Engagement</t>
  </si>
  <si>
    <t>Engagement Type</t>
  </si>
  <si>
    <t>TCP</t>
  </si>
  <si>
    <t>REGION</t>
  </si>
  <si>
    <t>Principal Decisioning Architect</t>
  </si>
  <si>
    <t>TURKEY-TKY</t>
  </si>
  <si>
    <t>POLAND-ONSITE-ASA</t>
  </si>
  <si>
    <t>POLAND-OFFSITE-ASA</t>
  </si>
  <si>
    <t>CANADA</t>
  </si>
  <si>
    <t>ITALY</t>
  </si>
  <si>
    <t>SWTZERLD-CHF</t>
  </si>
  <si>
    <t>SWTZERLD-EURO</t>
  </si>
  <si>
    <t>SWITZERLAND-EURO</t>
  </si>
  <si>
    <t>SWITZERLAND-CHF</t>
  </si>
  <si>
    <t>INDIA - UX</t>
  </si>
  <si>
    <t>Discount%</t>
  </si>
  <si>
    <t>INVESTMENT</t>
  </si>
  <si>
    <t>NSC</t>
  </si>
  <si>
    <t>Quote</t>
  </si>
  <si>
    <t>&lt;Enter Account Name&gt;</t>
  </si>
  <si>
    <t>&lt;Enter Organization Name&gt;</t>
  </si>
  <si>
    <t>Organization Name</t>
  </si>
  <si>
    <t>Organization Name:</t>
  </si>
  <si>
    <t>Business Mgmt Consultant</t>
  </si>
  <si>
    <t>Domain Consultant</t>
  </si>
  <si>
    <t>UI Developer</t>
  </si>
  <si>
    <t>Performance Architect</t>
  </si>
  <si>
    <t>Technical Architect</t>
  </si>
  <si>
    <t>TECHNICAL</t>
  </si>
  <si>
    <t>VERSION OCT 2017</t>
  </si>
  <si>
    <t>PEGA</t>
  </si>
  <si>
    <t>FULL IMPLEMENTATION</t>
  </si>
  <si>
    <t>AGILE</t>
  </si>
  <si>
    <t>NEW ECR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</si>
</sst>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42" formatCode="_(&quot;$&quot;* #,##0_);_(&quot;$&quot;* \(#,##0\);_(&quot;$&quot;* &quot;-&quot;_);_(@_)"/>
    <numFmt numFmtId="44" formatCode="_(&quot;$&quot;* #,##0.00_);_(&quot;$&quot;* \(#,##0.00\);_(&quot;$&quot;* &quot;-&quot;??_);_(@_)"/>
    <numFmt numFmtId="43" formatCode="_(* #,##0.00_);_(* \(#,##0.00\);_(* &quot;-&quot;??_);_(@_)"/>
    <numFmt numFmtId="164" formatCode="_(* #,##0_);_(* \(#,##0\);_(* &quot;-&quot;??_);_(@_)"/>
    <numFmt numFmtId="165" formatCode="0.0%"/>
    <numFmt numFmtId="166" formatCode="&quot;$&quot;#,##0"/>
    <numFmt numFmtId="167" formatCode="&quot;$&quot;#,##0.00"/>
    <numFmt numFmtId="168" formatCode="#,##0.0"/>
    <numFmt numFmtId="169" formatCode="0.0"/>
    <numFmt numFmtId="170" formatCode="[$-409]d\-mmm\-yy;@"/>
    <numFmt numFmtId="171" formatCode="[$£-809]#,##0"/>
    <numFmt numFmtId="172" formatCode="[$£-809]#,##0.00"/>
    <numFmt numFmtId="173" formatCode="[$€-2]\ #,##0.00"/>
    <numFmt numFmtId="174" formatCode="[$€-2]\ #,##0"/>
  </numFmts>
  <fonts count="29" x14ac:knownFonts="1">
    <font>
      <sz val="10"/>
      <name val="Times New Roman"/>
    </font>
    <font>
      <sz val="10"/>
      <name val="Times New Roman"/>
      <family val="1"/>
    </font>
    <font>
      <b/>
      <sz val="12"/>
      <name val="Arial"/>
      <family val="2"/>
    </font>
    <font>
      <b/>
      <sz val="10"/>
      <name val="Arial"/>
      <family val="2"/>
    </font>
    <font>
      <b/>
      <sz val="10"/>
      <name val="Times New Roman"/>
      <family val="1"/>
    </font>
    <font>
      <sz val="8"/>
      <color indexed="81"/>
      <name val="Tahoma"/>
      <family val="2"/>
    </font>
    <font>
      <b/>
      <sz val="8"/>
      <color indexed="81"/>
      <name val="Tahoma"/>
      <family val="2"/>
    </font>
    <font>
      <sz val="8"/>
      <name val="Times New Roman"/>
      <family val="1"/>
    </font>
    <font>
      <sz val="10"/>
      <name val="Arial Narrow"/>
      <family val="2"/>
    </font>
    <font>
      <b/>
      <sz val="10"/>
      <name val="Arial Narrow"/>
      <family val="2"/>
    </font>
    <font>
      <b/>
      <sz val="10"/>
      <color indexed="10"/>
      <name val="Arial Narrow"/>
      <family val="2"/>
    </font>
    <font>
      <b/>
      <sz val="12"/>
      <name val="Arial Narrow"/>
      <family val="2"/>
    </font>
    <font>
      <sz val="10"/>
      <name val="Arial"/>
      <family val="2"/>
    </font>
    <font>
      <b/>
      <u/>
      <sz val="10"/>
      <name val="Times New Roman"/>
      <family val="1"/>
    </font>
    <font>
      <sz val="10"/>
      <name val="Arial"/>
      <family val="2"/>
    </font>
    <font>
      <i/>
      <u/>
      <sz val="10"/>
      <name val="Arial"/>
      <family val="2"/>
    </font>
    <font>
      <sz val="10"/>
      <color indexed="81"/>
      <name val="Tahoma"/>
      <family val="2"/>
    </font>
    <font>
      <b/>
      <sz val="10"/>
      <color indexed="81"/>
      <name val="Tahoma"/>
      <family val="2"/>
    </font>
    <font>
      <u val="singleAccounting"/>
      <sz val="10"/>
      <name val="Arial Narrow"/>
      <family val="2"/>
    </font>
    <font>
      <b/>
      <u/>
      <sz val="10"/>
      <color indexed="10"/>
      <name val="Arial Narrow"/>
      <family val="2"/>
    </font>
    <font>
      <b/>
      <sz val="10"/>
      <color indexed="10"/>
      <name val="Times New Roman"/>
      <family val="1"/>
    </font>
    <font>
      <sz val="10"/>
      <name val="Times New Roman"/>
      <family val="1"/>
    </font>
    <font>
      <b/>
      <sz val="10"/>
      <color rgb="FFFF0000"/>
      <name val="Arial Narrow"/>
      <family val="2"/>
    </font>
    <font>
      <u/>
      <sz val="10"/>
      <name val="Arial Narrow"/>
      <family val="2"/>
    </font>
    <font>
      <sz val="11"/>
      <name val="Calibri"/>
      <family val="2"/>
    </font>
    <font>
      <b/>
      <i/>
      <sz val="11"/>
      <name val="Calibri"/>
      <family val="2"/>
    </font>
    <font>
      <sz val="10"/>
      <color theme="0"/>
      <name val="Arial Narrow"/>
      <family val="2"/>
    </font>
    <font>
      <b/>
      <sz val="10"/>
      <color theme="0"/>
      <name val="Arial Narrow"/>
      <family val="2"/>
    </font>
    <font>
      <sz val="10"/>
      <color theme="0" tint="-4.9989318521683403E-2"/>
      <name val="Arial Narrow"/>
      <family val="2"/>
    </font>
  </fonts>
  <fills count="12">
    <fill>
      <patternFill patternType="none"/>
    </fill>
    <fill>
      <patternFill patternType="gray125"/>
    </fill>
    <fill>
      <patternFill patternType="solid">
        <fgColor indexed="22"/>
        <bgColor indexed="64"/>
      </patternFill>
    </fill>
    <fill>
      <patternFill patternType="solid">
        <fgColor indexed="41"/>
        <bgColor indexed="64"/>
      </patternFill>
    </fill>
    <fill>
      <patternFill patternType="solid">
        <fgColor indexed="42"/>
        <bgColor indexed="64"/>
      </patternFill>
    </fill>
    <fill>
      <patternFill patternType="solid">
        <fgColor indexed="13"/>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
      <patternFill patternType="solid">
        <fgColor rgb="FFFFC000"/>
        <bgColor indexed="64"/>
      </patternFill>
    </fill>
    <fill>
      <patternFill patternType="solid">
        <fgColor rgb="FFCCFFFF"/>
        <bgColor indexed="64"/>
      </patternFill>
    </fill>
    <fill>
      <patternFill patternType="solid">
        <fgColor theme="0"/>
        <bgColor indexed="64"/>
      </patternFill>
    </fill>
  </fills>
  <borders count="24">
    <border>
      <left/>
      <right/>
      <top/>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bottom style="thin">
        <color indexed="64"/>
      </bottom>
      <diagonal/>
    </border>
    <border>
      <left style="medium">
        <color indexed="64"/>
      </left>
      <right/>
      <top style="medium">
        <color indexed="64"/>
      </top>
      <bottom/>
      <diagonal/>
    </border>
    <border>
      <left style="medium">
        <color indexed="64"/>
      </left>
      <right/>
      <top style="medium">
        <color indexed="64"/>
      </top>
      <bottom style="medium">
        <color indexed="64"/>
      </bottom>
      <diagonal/>
    </border>
    <border>
      <left/>
      <right/>
      <top/>
      <bottom style="medium">
        <color indexed="64"/>
      </bottom>
      <diagonal/>
    </border>
    <border>
      <left/>
      <right style="medium">
        <color indexed="64"/>
      </right>
      <top style="medium">
        <color indexed="64"/>
      </top>
      <bottom/>
      <diagonal/>
    </border>
    <border>
      <left/>
      <right style="thin">
        <color indexed="64"/>
      </right>
      <top/>
      <bottom/>
      <diagonal/>
    </border>
    <border>
      <left/>
      <right style="thin">
        <color indexed="64"/>
      </right>
      <top/>
      <bottom style="thin">
        <color indexed="64"/>
      </bottom>
      <diagonal/>
    </border>
    <border>
      <left/>
      <right style="medium">
        <color indexed="64"/>
      </right>
      <top/>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s>
  <cellStyleXfs count="7">
    <xf numFmtId="0" fontId="0" fillId="0" borderId="0"/>
    <xf numFmtId="43" fontId="1" fillId="0" borderId="0" applyFont="0" applyFill="0" applyBorder="0" applyAlignment="0" applyProtection="0"/>
    <xf numFmtId="44" fontId="1" fillId="0" borderId="0" applyFont="0" applyFill="0" applyBorder="0" applyAlignment="0" applyProtection="0"/>
    <xf numFmtId="0" fontId="2" fillId="0" borderId="1" applyNumberFormat="0" applyAlignment="0" applyProtection="0">
      <alignment horizontal="left" vertical="center"/>
    </xf>
    <xf numFmtId="0" fontId="2" fillId="0" borderId="2">
      <alignment horizontal="left" vertical="center"/>
    </xf>
    <xf numFmtId="0" fontId="14" fillId="0" borderId="0"/>
    <xf numFmtId="9" fontId="1" fillId="0" borderId="0" applyFont="0" applyFill="0" applyBorder="0" applyAlignment="0" applyProtection="0"/>
  </cellStyleXfs>
  <cellXfs count="409">
    <xf numFmtId="0" fontId="0" fillId="0" borderId="0" xfId="0"/>
    <xf numFmtId="0" fontId="4" fillId="0" borderId="0" xfId="0" applyFont="1"/>
    <xf numFmtId="0" fontId="8" fillId="0" borderId="0" xfId="0" applyFont="1"/>
    <xf numFmtId="0" fontId="9" fillId="0" borderId="0" xfId="0" applyFont="1"/>
    <xf numFmtId="0" fontId="10" fillId="0" borderId="0" xfId="0" applyFont="1"/>
    <xf numFmtId="0" fontId="8" fillId="0" borderId="0" xfId="0" applyFont="1" applyAlignment="1">
      <alignment horizontal="center"/>
    </xf>
    <xf numFmtId="0" fontId="9" fillId="0" borderId="0" xfId="0" applyFont="1" applyAlignment="1">
      <alignment horizontal="center"/>
    </xf>
    <xf numFmtId="170" fontId="8" fillId="0" borderId="0" xfId="0" applyNumberFormat="1" applyFont="1"/>
    <xf numFmtId="9" fontId="8" fillId="0" borderId="0" xfId="6" applyFont="1"/>
    <xf numFmtId="4" fontId="8" fillId="0" borderId="0" xfId="6" applyNumberFormat="1" applyFont="1"/>
    <xf numFmtId="42" fontId="8" fillId="0" borderId="0" xfId="0" applyNumberFormat="1" applyFont="1"/>
    <xf numFmtId="0" fontId="8" fillId="0" borderId="3" xfId="0" applyFont="1" applyBorder="1"/>
    <xf numFmtId="0" fontId="9" fillId="0" borderId="3" xfId="0" applyFont="1" applyBorder="1"/>
    <xf numFmtId="0" fontId="9" fillId="0" borderId="3" xfId="0" applyFont="1" applyBorder="1" applyAlignment="1">
      <alignment horizontal="center"/>
    </xf>
    <xf numFmtId="0" fontId="11" fillId="0" borderId="0" xfId="0" applyFont="1"/>
    <xf numFmtId="165" fontId="8" fillId="0" borderId="0" xfId="6" applyNumberFormat="1" applyFont="1"/>
    <xf numFmtId="9" fontId="0" fillId="0" borderId="0" xfId="0" applyNumberFormat="1" applyBorder="1"/>
    <xf numFmtId="168" fontId="8" fillId="0" borderId="0" xfId="6" applyNumberFormat="1" applyFont="1"/>
    <xf numFmtId="165" fontId="8" fillId="0" borderId="3" xfId="6" applyNumberFormat="1" applyFont="1" applyBorder="1"/>
    <xf numFmtId="165" fontId="0" fillId="0" borderId="0" xfId="0" applyNumberFormat="1" applyBorder="1"/>
    <xf numFmtId="0" fontId="3" fillId="0" borderId="0" xfId="5" applyFont="1" applyAlignment="1">
      <alignment horizontal="center" vertical="top" wrapText="1"/>
    </xf>
    <xf numFmtId="0" fontId="14" fillId="0" borderId="0" xfId="5" applyAlignment="1">
      <alignment vertical="top" wrapText="1"/>
    </xf>
    <xf numFmtId="0" fontId="14" fillId="0" borderId="0" xfId="5"/>
    <xf numFmtId="0" fontId="15" fillId="0" borderId="0" xfId="5" applyFont="1" applyAlignment="1">
      <alignment vertical="top" wrapText="1"/>
    </xf>
    <xf numFmtId="0" fontId="14" fillId="0" borderId="0" xfId="5" applyAlignment="1">
      <alignment horizontal="center" vertical="top" wrapText="1"/>
    </xf>
    <xf numFmtId="0" fontId="14" fillId="0" borderId="0" xfId="5" applyAlignment="1">
      <alignment horizontal="left" wrapText="1"/>
    </xf>
    <xf numFmtId="0" fontId="14" fillId="0" borderId="0" xfId="5" applyAlignment="1">
      <alignment horizontal="center"/>
    </xf>
    <xf numFmtId="0" fontId="14" fillId="0" borderId="0" xfId="5" applyAlignment="1">
      <alignment horizontal="left" vertical="top" wrapText="1"/>
    </xf>
    <xf numFmtId="0" fontId="4" fillId="0" borderId="0" xfId="0" applyFont="1" applyFill="1"/>
    <xf numFmtId="0" fontId="0" fillId="0" borderId="0" xfId="0" applyFill="1"/>
    <xf numFmtId="0" fontId="4" fillId="0" borderId="0" xfId="0" applyFont="1" applyAlignment="1">
      <alignment horizontal="center"/>
    </xf>
    <xf numFmtId="43" fontId="8" fillId="0" borderId="0" xfId="1" applyFont="1"/>
    <xf numFmtId="43" fontId="8" fillId="0" borderId="3" xfId="1" applyFont="1" applyBorder="1"/>
    <xf numFmtId="43" fontId="8" fillId="0" borderId="0" xfId="1" applyFont="1" applyFill="1"/>
    <xf numFmtId="43" fontId="9" fillId="0" borderId="0" xfId="1" applyFont="1" applyAlignment="1">
      <alignment horizontal="center"/>
    </xf>
    <xf numFmtId="43" fontId="9" fillId="0" borderId="3" xfId="1" applyFont="1" applyBorder="1" applyAlignment="1">
      <alignment horizontal="center"/>
    </xf>
    <xf numFmtId="164" fontId="8" fillId="0" borderId="0" xfId="1" applyNumberFormat="1" applyFont="1"/>
    <xf numFmtId="164" fontId="8" fillId="0" borderId="3" xfId="1" applyNumberFormat="1" applyFont="1" applyBorder="1"/>
    <xf numFmtId="164" fontId="9" fillId="0" borderId="0" xfId="1" applyNumberFormat="1" applyFont="1" applyAlignment="1">
      <alignment horizontal="center"/>
    </xf>
    <xf numFmtId="164" fontId="9" fillId="0" borderId="3" xfId="1" applyNumberFormat="1" applyFont="1" applyBorder="1" applyAlignment="1">
      <alignment horizontal="center"/>
    </xf>
    <xf numFmtId="43" fontId="9" fillId="0" borderId="3" xfId="1" applyFont="1" applyFill="1" applyBorder="1" applyAlignment="1">
      <alignment horizontal="center"/>
    </xf>
    <xf numFmtId="0" fontId="8" fillId="0" borderId="0" xfId="0" applyFont="1" applyBorder="1"/>
    <xf numFmtId="0" fontId="12" fillId="0" borderId="0" xfId="0" applyFont="1" applyBorder="1"/>
    <xf numFmtId="0" fontId="9" fillId="0" borderId="0" xfId="0" applyFont="1" applyBorder="1"/>
    <xf numFmtId="164" fontId="8" fillId="2" borderId="1" xfId="1" applyNumberFormat="1" applyFont="1" applyFill="1" applyBorder="1"/>
    <xf numFmtId="165" fontId="8" fillId="2" borderId="1" xfId="6" applyNumberFormat="1" applyFont="1" applyFill="1" applyBorder="1"/>
    <xf numFmtId="9" fontId="8" fillId="2" borderId="4" xfId="6" applyFont="1" applyFill="1" applyBorder="1"/>
    <xf numFmtId="0" fontId="4" fillId="0" borderId="5" xfId="0" applyFont="1" applyBorder="1"/>
    <xf numFmtId="0" fontId="4" fillId="0" borderId="6" xfId="0" applyFont="1" applyBorder="1" applyAlignment="1">
      <alignment horizontal="center"/>
    </xf>
    <xf numFmtId="0" fontId="4" fillId="0" borderId="7" xfId="0" applyFont="1" applyBorder="1" applyAlignment="1">
      <alignment horizontal="center"/>
    </xf>
    <xf numFmtId="43" fontId="1" fillId="0" borderId="0" xfId="1"/>
    <xf numFmtId="3" fontId="8" fillId="0" borderId="0" xfId="6" applyNumberFormat="1" applyFont="1"/>
    <xf numFmtId="9" fontId="8" fillId="0" borderId="0" xfId="6" applyFont="1" applyFill="1"/>
    <xf numFmtId="0" fontId="8" fillId="0" borderId="8" xfId="0" applyFont="1" applyBorder="1"/>
    <xf numFmtId="0" fontId="8" fillId="0" borderId="9" xfId="0" applyFont="1" applyBorder="1"/>
    <xf numFmtId="0" fontId="8" fillId="0" borderId="10" xfId="0" applyFont="1" applyBorder="1"/>
    <xf numFmtId="164" fontId="8" fillId="0" borderId="0" xfId="1" applyNumberFormat="1" applyFont="1" applyAlignment="1">
      <alignment horizontal="center"/>
    </xf>
    <xf numFmtId="164" fontId="8" fillId="0" borderId="0" xfId="0" applyNumberFormat="1" applyFont="1" applyAlignment="1">
      <alignment horizontal="center"/>
    </xf>
    <xf numFmtId="0" fontId="8" fillId="0" borderId="0" xfId="0" applyFont="1" applyFill="1" applyAlignment="1">
      <alignment horizontal="center"/>
    </xf>
    <xf numFmtId="165" fontId="8" fillId="0" borderId="0" xfId="6" applyNumberFormat="1" applyFont="1" applyAlignment="1">
      <alignment horizontal="right"/>
    </xf>
    <xf numFmtId="0" fontId="3" fillId="0" borderId="0" xfId="5" applyFont="1" applyAlignment="1"/>
    <xf numFmtId="0" fontId="8" fillId="0" borderId="11" xfId="0" applyFont="1" applyBorder="1"/>
    <xf numFmtId="0" fontId="8" fillId="0" borderId="12" xfId="0" applyFont="1" applyBorder="1"/>
    <xf numFmtId="0" fontId="9" fillId="0" borderId="13" xfId="0" applyFont="1" applyBorder="1"/>
    <xf numFmtId="0" fontId="11" fillId="0" borderId="14" xfId="0" applyFont="1" applyFill="1" applyBorder="1"/>
    <xf numFmtId="0" fontId="8" fillId="0" borderId="1" xfId="0" applyFont="1" applyFill="1" applyBorder="1"/>
    <xf numFmtId="169" fontId="8" fillId="0" borderId="1" xfId="0" applyNumberFormat="1" applyFont="1" applyFill="1" applyBorder="1"/>
    <xf numFmtId="43" fontId="8" fillId="0" borderId="1" xfId="1" applyFont="1" applyFill="1" applyBorder="1"/>
    <xf numFmtId="164" fontId="8" fillId="0" borderId="1" xfId="1" applyNumberFormat="1" applyFont="1" applyFill="1" applyBorder="1"/>
    <xf numFmtId="165" fontId="0" fillId="0" borderId="13" xfId="0" applyNumberFormat="1" applyBorder="1"/>
    <xf numFmtId="9" fontId="0" fillId="0" borderId="8" xfId="0" applyNumberFormat="1" applyBorder="1"/>
    <xf numFmtId="165" fontId="0" fillId="0" borderId="8" xfId="0" applyNumberFormat="1" applyBorder="1"/>
    <xf numFmtId="165" fontId="0" fillId="0" borderId="9" xfId="0" applyNumberFormat="1" applyBorder="1"/>
    <xf numFmtId="165" fontId="0" fillId="0" borderId="10" xfId="0" applyNumberFormat="1" applyBorder="1"/>
    <xf numFmtId="9" fontId="0" fillId="0" borderId="15" xfId="0" applyNumberFormat="1" applyBorder="1"/>
    <xf numFmtId="165" fontId="0" fillId="0" borderId="15" xfId="0" applyNumberFormat="1" applyBorder="1"/>
    <xf numFmtId="0" fontId="8" fillId="0" borderId="8" xfId="0" applyFont="1" applyBorder="1" applyAlignment="1">
      <alignment horizontal="center"/>
    </xf>
    <xf numFmtId="0" fontId="8" fillId="0" borderId="16" xfId="0" applyFont="1" applyBorder="1"/>
    <xf numFmtId="0" fontId="8" fillId="0" borderId="0" xfId="0" applyFont="1" applyBorder="1" applyAlignment="1">
      <alignment horizontal="center"/>
    </xf>
    <xf numFmtId="164" fontId="8" fillId="0" borderId="0" xfId="1" applyNumberFormat="1" applyFont="1" applyBorder="1" applyAlignment="1">
      <alignment horizontal="center"/>
    </xf>
    <xf numFmtId="164" fontId="8" fillId="0" borderId="0" xfId="1" applyNumberFormat="1" applyFont="1" applyBorder="1"/>
    <xf numFmtId="164" fontId="8" fillId="0" borderId="15" xfId="1" applyNumberFormat="1" applyFont="1" applyBorder="1" applyAlignment="1">
      <alignment horizontal="center"/>
    </xf>
    <xf numFmtId="164" fontId="8" fillId="0" borderId="15" xfId="1" applyNumberFormat="1" applyFont="1" applyBorder="1"/>
    <xf numFmtId="164" fontId="18" fillId="0" borderId="0" xfId="1" applyNumberFormat="1" applyFont="1" applyBorder="1" applyAlignment="1">
      <alignment horizontal="center"/>
    </xf>
    <xf numFmtId="164" fontId="18" fillId="0" borderId="0" xfId="1" applyNumberFormat="1" applyFont="1" applyBorder="1"/>
    <xf numFmtId="170" fontId="8" fillId="0" borderId="0" xfId="0" applyNumberFormat="1" applyFont="1" applyFill="1" applyAlignment="1">
      <alignment horizontal="center"/>
    </xf>
    <xf numFmtId="0" fontId="8" fillId="3" borderId="0" xfId="0" applyFont="1" applyFill="1" applyAlignment="1" applyProtection="1">
      <alignment horizontal="center"/>
      <protection locked="0"/>
    </xf>
    <xf numFmtId="0" fontId="8" fillId="3" borderId="0" xfId="0" applyFont="1" applyFill="1" applyProtection="1">
      <protection locked="0"/>
    </xf>
    <xf numFmtId="170" fontId="8" fillId="3" borderId="0" xfId="0" applyNumberFormat="1" applyFont="1" applyFill="1" applyProtection="1">
      <protection locked="0"/>
    </xf>
    <xf numFmtId="9" fontId="8" fillId="3" borderId="0" xfId="6" applyFont="1" applyFill="1" applyProtection="1">
      <protection locked="0"/>
    </xf>
    <xf numFmtId="43" fontId="8" fillId="3" borderId="0" xfId="1" applyFont="1" applyFill="1" applyProtection="1">
      <protection locked="0"/>
    </xf>
    <xf numFmtId="0" fontId="13" fillId="3" borderId="5" xfId="0" applyFont="1" applyFill="1" applyBorder="1" applyAlignment="1" applyProtection="1">
      <alignment horizontal="center"/>
    </xf>
    <xf numFmtId="0" fontId="13" fillId="3" borderId="7" xfId="0" applyFont="1" applyFill="1" applyBorder="1" applyAlignment="1" applyProtection="1">
      <alignment horizontal="center"/>
    </xf>
    <xf numFmtId="0" fontId="0" fillId="0" borderId="0" xfId="0" applyProtection="1"/>
    <xf numFmtId="0" fontId="0" fillId="3" borderId="11" xfId="0" applyFill="1" applyBorder="1" applyProtection="1"/>
    <xf numFmtId="0" fontId="4" fillId="3" borderId="12" xfId="0" applyFont="1" applyFill="1" applyBorder="1" applyAlignment="1" applyProtection="1">
      <alignment horizontal="right"/>
    </xf>
    <xf numFmtId="0" fontId="4" fillId="0" borderId="5" xfId="0" applyFont="1" applyBorder="1" applyAlignment="1">
      <alignment horizontal="center"/>
    </xf>
    <xf numFmtId="0" fontId="8" fillId="0" borderId="0" xfId="0" applyFont="1" applyFill="1" applyBorder="1"/>
    <xf numFmtId="0" fontId="9" fillId="3" borderId="0" xfId="0" applyFont="1" applyFill="1" applyAlignment="1" applyProtection="1">
      <alignment horizontal="center"/>
      <protection locked="0"/>
    </xf>
    <xf numFmtId="0" fontId="9" fillId="0" borderId="0" xfId="0" applyFont="1" applyFill="1" applyProtection="1"/>
    <xf numFmtId="44" fontId="1" fillId="0" borderId="0" xfId="2" applyFill="1"/>
    <xf numFmtId="44" fontId="1" fillId="0" borderId="11" xfId="2" applyFill="1" applyBorder="1"/>
    <xf numFmtId="44" fontId="1" fillId="0" borderId="17" xfId="2" applyFill="1" applyBorder="1"/>
    <xf numFmtId="44" fontId="1" fillId="0" borderId="0" xfId="2" applyFill="1" applyBorder="1"/>
    <xf numFmtId="44" fontId="1" fillId="0" borderId="12" xfId="2" applyFill="1" applyBorder="1"/>
    <xf numFmtId="44" fontId="1" fillId="0" borderId="18" xfId="2" applyFill="1" applyBorder="1"/>
    <xf numFmtId="44" fontId="1" fillId="0" borderId="3" xfId="2" applyFill="1" applyBorder="1"/>
    <xf numFmtId="44" fontId="1" fillId="0" borderId="0" xfId="2" applyFont="1" applyFill="1" applyAlignment="1">
      <alignment horizontal="center"/>
    </xf>
    <xf numFmtId="1" fontId="1" fillId="0" borderId="0" xfId="2" applyNumberFormat="1" applyAlignment="1">
      <alignment horizontal="center"/>
    </xf>
    <xf numFmtId="44" fontId="1" fillId="0" borderId="0" xfId="2"/>
    <xf numFmtId="9" fontId="0" fillId="3" borderId="16" xfId="0" applyNumberFormat="1" applyFill="1" applyBorder="1" applyProtection="1">
      <protection locked="0"/>
    </xf>
    <xf numFmtId="9" fontId="0" fillId="3" borderId="19" xfId="0" applyNumberFormat="1" applyFill="1" applyBorder="1" applyProtection="1">
      <protection locked="0"/>
    </xf>
    <xf numFmtId="9" fontId="0" fillId="3" borderId="20" xfId="0" applyNumberFormat="1" applyFill="1" applyBorder="1" applyProtection="1">
      <protection locked="0"/>
    </xf>
    <xf numFmtId="164" fontId="8" fillId="4" borderId="0" xfId="1" applyNumberFormat="1" applyFont="1" applyFill="1" applyBorder="1"/>
    <xf numFmtId="164" fontId="18" fillId="4" borderId="0" xfId="1" applyNumberFormat="1" applyFont="1" applyFill="1" applyBorder="1"/>
    <xf numFmtId="164" fontId="8" fillId="4" borderId="15" xfId="1" applyNumberFormat="1" applyFont="1" applyFill="1" applyBorder="1" applyAlignment="1">
      <alignment horizontal="center"/>
    </xf>
    <xf numFmtId="4" fontId="8" fillId="0" borderId="0" xfId="0" applyNumberFormat="1" applyFont="1"/>
    <xf numFmtId="4" fontId="0" fillId="0" borderId="0" xfId="0" applyNumberFormat="1"/>
    <xf numFmtId="4" fontId="9" fillId="0" borderId="0" xfId="0" applyNumberFormat="1" applyFont="1" applyAlignment="1">
      <alignment horizontal="center"/>
    </xf>
    <xf numFmtId="4" fontId="9" fillId="0" borderId="3" xfId="0" applyNumberFormat="1" applyFont="1" applyBorder="1" applyAlignment="1">
      <alignment horizontal="center"/>
    </xf>
    <xf numFmtId="4" fontId="8" fillId="0" borderId="0" xfId="1" applyNumberFormat="1" applyFont="1"/>
    <xf numFmtId="4" fontId="8" fillId="0" borderId="3" xfId="0" applyNumberFormat="1" applyFont="1" applyBorder="1"/>
    <xf numFmtId="4" fontId="8" fillId="0" borderId="1" xfId="0" applyNumberFormat="1" applyFont="1" applyFill="1" applyBorder="1"/>
    <xf numFmtId="3" fontId="8" fillId="0" borderId="0" xfId="6" applyNumberFormat="1" applyFont="1" applyAlignment="1">
      <alignment horizontal="right"/>
    </xf>
    <xf numFmtId="0" fontId="8" fillId="5" borderId="0" xfId="0" applyFont="1" applyFill="1"/>
    <xf numFmtId="0" fontId="19" fillId="0" borderId="0" xfId="0" applyFont="1"/>
    <xf numFmtId="0" fontId="8" fillId="3" borderId="0" xfId="0" applyFont="1" applyFill="1" applyAlignment="1" applyProtection="1">
      <alignment horizontal="left"/>
      <protection locked="0"/>
    </xf>
    <xf numFmtId="0" fontId="8" fillId="0" borderId="0" xfId="0" applyFont="1" applyFill="1"/>
    <xf numFmtId="166" fontId="8" fillId="0" borderId="0" xfId="0" applyNumberFormat="1" applyFont="1" applyAlignment="1">
      <alignment horizontal="center"/>
    </xf>
    <xf numFmtId="3" fontId="8" fillId="0" borderId="0" xfId="0" applyNumberFormat="1" applyFont="1" applyAlignment="1">
      <alignment horizontal="center"/>
    </xf>
    <xf numFmtId="3" fontId="1" fillId="3" borderId="18" xfId="2" applyNumberFormat="1" applyFont="1" applyFill="1" applyBorder="1" applyAlignment="1" applyProtection="1">
      <alignment horizontal="right"/>
    </xf>
    <xf numFmtId="3" fontId="1" fillId="3" borderId="21" xfId="2" applyNumberFormat="1" applyFill="1" applyBorder="1" applyAlignment="1" applyProtection="1">
      <alignment horizontal="right"/>
    </xf>
    <xf numFmtId="4" fontId="13" fillId="3" borderId="7" xfId="0" applyNumberFormat="1" applyFont="1" applyFill="1" applyBorder="1" applyAlignment="1" applyProtection="1">
      <alignment horizontal="center"/>
    </xf>
    <xf numFmtId="4" fontId="1" fillId="3" borderId="18" xfId="2" applyNumberFormat="1" applyFont="1" applyFill="1" applyBorder="1" applyAlignment="1" applyProtection="1">
      <alignment horizontal="right"/>
    </xf>
    <xf numFmtId="4" fontId="1" fillId="3" borderId="21" xfId="2" applyNumberFormat="1" applyFill="1" applyBorder="1" applyAlignment="1" applyProtection="1">
      <alignment horizontal="right"/>
    </xf>
    <xf numFmtId="44" fontId="1" fillId="0" borderId="0" xfId="2" applyFont="1" applyFill="1"/>
    <xf numFmtId="44" fontId="1" fillId="0" borderId="0" xfId="2" applyFont="1" applyFill="1" applyBorder="1"/>
    <xf numFmtId="167" fontId="1" fillId="0" borderId="0" xfId="2" applyNumberFormat="1" applyAlignment="1">
      <alignment horizontal="center"/>
    </xf>
    <xf numFmtId="167" fontId="0" fillId="0" borderId="0" xfId="0" applyNumberFormat="1"/>
    <xf numFmtId="0" fontId="9" fillId="3" borderId="0" xfId="0" applyFont="1" applyFill="1" applyProtection="1">
      <protection locked="0"/>
    </xf>
    <xf numFmtId="0" fontId="0" fillId="5" borderId="0" xfId="0" applyFill="1"/>
    <xf numFmtId="0" fontId="8" fillId="0" borderId="0" xfId="0" applyFont="1" applyFill="1" applyProtection="1">
      <protection locked="0"/>
    </xf>
    <xf numFmtId="0" fontId="9" fillId="0" borderId="0" xfId="0" applyFont="1" applyFill="1" applyProtection="1">
      <protection locked="0"/>
    </xf>
    <xf numFmtId="170" fontId="8" fillId="0" borderId="0" xfId="0" applyNumberFormat="1" applyFont="1" applyFill="1" applyProtection="1">
      <protection locked="0"/>
    </xf>
    <xf numFmtId="0" fontId="8" fillId="0" borderId="0" xfId="0" applyFont="1" applyFill="1" applyAlignment="1" applyProtection="1">
      <alignment horizontal="left"/>
      <protection locked="0"/>
    </xf>
    <xf numFmtId="0" fontId="20" fillId="0" borderId="0" xfId="0" applyFont="1" applyFill="1"/>
    <xf numFmtId="172" fontId="1" fillId="0" borderId="0" xfId="2" applyNumberFormat="1" applyFill="1" applyBorder="1"/>
    <xf numFmtId="172" fontId="0" fillId="0" borderId="0" xfId="0" applyNumberFormat="1"/>
    <xf numFmtId="173" fontId="0" fillId="0" borderId="0" xfId="0" applyNumberFormat="1"/>
    <xf numFmtId="167" fontId="1" fillId="0" borderId="0" xfId="2" applyNumberFormat="1" applyFill="1" applyBorder="1" applyAlignment="1">
      <alignment horizontal="right"/>
    </xf>
    <xf numFmtId="0" fontId="4" fillId="0" borderId="0" xfId="0" applyFont="1" applyFill="1" applyAlignment="1">
      <alignment horizontal="center"/>
    </xf>
    <xf numFmtId="0" fontId="4" fillId="0" borderId="0" xfId="0" applyFont="1" applyFill="1" applyBorder="1" applyAlignment="1">
      <alignment horizontal="center"/>
    </xf>
    <xf numFmtId="4" fontId="0" fillId="0" borderId="0" xfId="0" applyNumberFormat="1" applyFill="1"/>
    <xf numFmtId="167" fontId="1" fillId="0" borderId="3" xfId="2" applyNumberFormat="1" applyFill="1" applyBorder="1" applyAlignment="1">
      <alignment horizontal="right"/>
    </xf>
    <xf numFmtId="0" fontId="9" fillId="0" borderId="0" xfId="0" applyFont="1" applyFill="1" applyAlignment="1" applyProtection="1">
      <alignment horizontal="center"/>
    </xf>
    <xf numFmtId="165" fontId="8" fillId="0" borderId="0" xfId="6" applyNumberFormat="1" applyFont="1" applyBorder="1"/>
    <xf numFmtId="165" fontId="18" fillId="0" borderId="0" xfId="6" applyNumberFormat="1" applyFont="1" applyBorder="1"/>
    <xf numFmtId="0" fontId="8" fillId="0" borderId="19" xfId="0" applyFont="1" applyBorder="1"/>
    <xf numFmtId="165" fontId="8" fillId="0" borderId="15" xfId="6" applyNumberFormat="1" applyFont="1" applyBorder="1"/>
    <xf numFmtId="44" fontId="21" fillId="0" borderId="17" xfId="2" applyFont="1" applyFill="1" applyBorder="1"/>
    <xf numFmtId="0" fontId="8" fillId="3" borderId="0" xfId="0" applyFont="1" applyFill="1" applyBorder="1" applyProtection="1">
      <protection locked="0"/>
    </xf>
    <xf numFmtId="170" fontId="8" fillId="3" borderId="0" xfId="0" applyNumberFormat="1" applyFont="1" applyFill="1" applyBorder="1" applyProtection="1">
      <protection locked="0"/>
    </xf>
    <xf numFmtId="9" fontId="8" fillId="3" borderId="0" xfId="6" applyFont="1" applyFill="1" applyBorder="1" applyProtection="1">
      <protection locked="0"/>
    </xf>
    <xf numFmtId="4" fontId="8" fillId="0" borderId="0" xfId="6" applyNumberFormat="1" applyFont="1" applyBorder="1"/>
    <xf numFmtId="4" fontId="8" fillId="0" borderId="0" xfId="1" applyNumberFormat="1" applyFont="1" applyBorder="1"/>
    <xf numFmtId="43" fontId="8" fillId="0" borderId="0" xfId="1" applyFont="1" applyFill="1" applyBorder="1" applyProtection="1">
      <protection locked="0"/>
    </xf>
    <xf numFmtId="9" fontId="8" fillId="0" borderId="0" xfId="6" applyFont="1" applyBorder="1"/>
    <xf numFmtId="0" fontId="8" fillId="3" borderId="15" xfId="0" applyFont="1" applyFill="1" applyBorder="1" applyProtection="1">
      <protection locked="0"/>
    </xf>
    <xf numFmtId="170" fontId="8" fillId="3" borderId="15" xfId="0" applyNumberFormat="1" applyFont="1" applyFill="1" applyBorder="1" applyProtection="1">
      <protection locked="0"/>
    </xf>
    <xf numFmtId="9" fontId="8" fillId="3" borderId="15" xfId="6" applyFont="1" applyFill="1" applyBorder="1" applyProtection="1">
      <protection locked="0"/>
    </xf>
    <xf numFmtId="4" fontId="8" fillId="0" borderId="15" xfId="6" applyNumberFormat="1" applyFont="1" applyBorder="1"/>
    <xf numFmtId="4" fontId="8" fillId="0" borderId="15" xfId="1" applyNumberFormat="1" applyFont="1" applyBorder="1"/>
    <xf numFmtId="43" fontId="8" fillId="0" borderId="15" xfId="1" applyFont="1" applyFill="1" applyBorder="1" applyProtection="1">
      <protection locked="0"/>
    </xf>
    <xf numFmtId="9" fontId="8" fillId="0" borderId="15" xfId="6" applyFont="1" applyBorder="1"/>
    <xf numFmtId="0" fontId="8" fillId="0" borderId="15" xfId="0" applyFont="1" applyBorder="1"/>
    <xf numFmtId="43" fontId="8" fillId="3" borderId="15" xfId="1" applyFont="1" applyFill="1" applyBorder="1" applyProtection="1">
      <protection locked="0"/>
    </xf>
    <xf numFmtId="43" fontId="8" fillId="0" borderId="0" xfId="1" applyFont="1" applyBorder="1"/>
    <xf numFmtId="43" fontId="8" fillId="3" borderId="0" xfId="1" applyFont="1" applyFill="1" applyBorder="1" applyProtection="1">
      <protection locked="0"/>
    </xf>
    <xf numFmtId="43" fontId="8" fillId="0" borderId="15" xfId="1" applyFont="1" applyBorder="1"/>
    <xf numFmtId="0" fontId="21" fillId="0" borderId="0" xfId="0" applyFont="1"/>
    <xf numFmtId="0" fontId="21" fillId="6" borderId="0" xfId="0" applyFont="1" applyFill="1"/>
    <xf numFmtId="0" fontId="21" fillId="7" borderId="0" xfId="0" applyFont="1" applyFill="1"/>
    <xf numFmtId="166" fontId="0" fillId="7" borderId="0" xfId="0" applyNumberFormat="1" applyFill="1"/>
    <xf numFmtId="0" fontId="21" fillId="8" borderId="0" xfId="0" applyFont="1" applyFill="1"/>
    <xf numFmtId="166" fontId="0" fillId="8" borderId="0" xfId="0" applyNumberFormat="1" applyFill="1"/>
    <xf numFmtId="171" fontId="0" fillId="6" borderId="0" xfId="0" applyNumberFormat="1" applyFill="1"/>
    <xf numFmtId="0" fontId="21" fillId="9" borderId="0" xfId="0" applyFont="1" applyFill="1"/>
    <xf numFmtId="174" fontId="0" fillId="9" borderId="0" xfId="0" applyNumberFormat="1" applyFill="1"/>
    <xf numFmtId="174" fontId="0" fillId="7" borderId="0" xfId="0" applyNumberFormat="1" applyFill="1"/>
    <xf numFmtId="174" fontId="0" fillId="8" borderId="0" xfId="0" applyNumberFormat="1" applyFill="1"/>
    <xf numFmtId="174" fontId="0" fillId="6" borderId="0" xfId="0" applyNumberFormat="1" applyFill="1"/>
    <xf numFmtId="166" fontId="0" fillId="9" borderId="0" xfId="0" applyNumberFormat="1" applyFill="1"/>
    <xf numFmtId="1" fontId="0" fillId="0" borderId="0" xfId="0" applyNumberFormat="1" applyFill="1"/>
    <xf numFmtId="1" fontId="21" fillId="0" borderId="0" xfId="0" applyNumberFormat="1" applyFont="1" applyFill="1"/>
    <xf numFmtId="0" fontId="8" fillId="0" borderId="0" xfId="0" applyFont="1" applyFill="1" applyBorder="1" applyProtection="1">
      <protection locked="0"/>
    </xf>
    <xf numFmtId="0" fontId="9" fillId="0" borderId="0" xfId="0" applyFont="1" applyFill="1" applyAlignment="1" applyProtection="1">
      <alignment horizontal="center"/>
      <protection locked="0"/>
    </xf>
    <xf numFmtId="1" fontId="1" fillId="0" borderId="0" xfId="0" applyNumberFormat="1" applyFont="1" applyFill="1"/>
    <xf numFmtId="0" fontId="22" fillId="0" borderId="0" xfId="0" applyFont="1"/>
    <xf numFmtId="9" fontId="8" fillId="0" borderId="0" xfId="0" applyNumberFormat="1" applyFont="1"/>
    <xf numFmtId="1" fontId="8" fillId="0" borderId="19" xfId="0" applyNumberFormat="1" applyFont="1" applyBorder="1"/>
    <xf numFmtId="1" fontId="8" fillId="0" borderId="20" xfId="0" applyNumberFormat="1" applyFont="1" applyBorder="1"/>
    <xf numFmtId="1" fontId="23" fillId="0" borderId="19" xfId="0" applyNumberFormat="1" applyFont="1" applyBorder="1"/>
    <xf numFmtId="3" fontId="0" fillId="8" borderId="0" xfId="0" applyNumberFormat="1" applyFill="1"/>
    <xf numFmtId="3" fontId="8" fillId="0" borderId="0" xfId="0" applyNumberFormat="1" applyFont="1"/>
    <xf numFmtId="3" fontId="0" fillId="0" borderId="0" xfId="0" applyNumberFormat="1"/>
    <xf numFmtId="3" fontId="9" fillId="0" borderId="0" xfId="0" applyNumberFormat="1" applyFont="1" applyAlignment="1">
      <alignment horizontal="center"/>
    </xf>
    <xf numFmtId="3" fontId="9" fillId="0" borderId="3" xfId="1" applyNumberFormat="1" applyFont="1" applyFill="1" applyBorder="1" applyAlignment="1">
      <alignment horizontal="center"/>
    </xf>
    <xf numFmtId="3" fontId="8" fillId="0" borderId="0" xfId="1" applyNumberFormat="1" applyFont="1" applyBorder="1"/>
    <xf numFmtId="3" fontId="8" fillId="0" borderId="15" xfId="1" applyNumberFormat="1" applyFont="1" applyBorder="1"/>
    <xf numFmtId="3" fontId="8" fillId="0" borderId="0" xfId="1" applyNumberFormat="1" applyFont="1"/>
    <xf numFmtId="3" fontId="9" fillId="0" borderId="0" xfId="1" applyNumberFormat="1" applyFont="1" applyAlignment="1">
      <alignment horizontal="center"/>
    </xf>
    <xf numFmtId="3" fontId="8" fillId="3" borderId="0" xfId="1" applyNumberFormat="1" applyFont="1" applyFill="1" applyProtection="1">
      <protection locked="0"/>
    </xf>
    <xf numFmtId="3" fontId="8" fillId="3" borderId="15" xfId="1" applyNumberFormat="1" applyFont="1" applyFill="1" applyBorder="1" applyProtection="1">
      <protection locked="0"/>
    </xf>
    <xf numFmtId="3" fontId="8" fillId="0" borderId="0" xfId="1" applyNumberFormat="1" applyFont="1" applyFill="1" applyBorder="1" applyProtection="1">
      <protection locked="0"/>
    </xf>
    <xf numFmtId="3" fontId="8" fillId="0" borderId="15" xfId="1" applyNumberFormat="1" applyFont="1" applyFill="1" applyBorder="1" applyProtection="1">
      <protection locked="0"/>
    </xf>
    <xf numFmtId="3" fontId="8" fillId="0" borderId="3" xfId="1" applyNumberFormat="1" applyFont="1" applyBorder="1"/>
    <xf numFmtId="3" fontId="8" fillId="0" borderId="1" xfId="1" applyNumberFormat="1" applyFont="1" applyFill="1" applyBorder="1"/>
    <xf numFmtId="3" fontId="9" fillId="0" borderId="3" xfId="0" applyNumberFormat="1" applyFont="1" applyBorder="1" applyAlignment="1">
      <alignment horizontal="center"/>
    </xf>
    <xf numFmtId="3" fontId="9" fillId="0" borderId="3" xfId="1" applyNumberFormat="1" applyFont="1" applyBorder="1" applyAlignment="1">
      <alignment horizontal="center"/>
    </xf>
    <xf numFmtId="3" fontId="8" fillId="0" borderId="0" xfId="1" applyNumberFormat="1" applyFont="1" applyFill="1"/>
    <xf numFmtId="3" fontId="8" fillId="0" borderId="15" xfId="1" applyNumberFormat="1" applyFont="1" applyFill="1" applyBorder="1"/>
    <xf numFmtId="3" fontId="8" fillId="0" borderId="0" xfId="1" applyNumberFormat="1" applyFont="1" applyFill="1" applyBorder="1"/>
    <xf numFmtId="3" fontId="8" fillId="3" borderId="1" xfId="1" applyNumberFormat="1" applyFont="1" applyFill="1" applyBorder="1" applyProtection="1">
      <protection locked="0"/>
    </xf>
    <xf numFmtId="4" fontId="8" fillId="0" borderId="0" xfId="0" applyNumberFormat="1" applyFont="1" applyFill="1"/>
    <xf numFmtId="3" fontId="1" fillId="3" borderId="17" xfId="2" applyNumberFormat="1" applyFill="1" applyBorder="1" applyAlignment="1" applyProtection="1">
      <alignment horizontal="right"/>
      <protection locked="0"/>
    </xf>
    <xf numFmtId="3" fontId="1" fillId="3" borderId="17" xfId="2" applyNumberFormat="1" applyFont="1" applyFill="1" applyBorder="1" applyAlignment="1" applyProtection="1">
      <alignment horizontal="right"/>
      <protection locked="0"/>
    </xf>
    <xf numFmtId="4" fontId="1" fillId="3" borderId="17" xfId="2" applyNumberFormat="1" applyFill="1" applyBorder="1" applyAlignment="1" applyProtection="1">
      <alignment horizontal="right"/>
      <protection locked="0"/>
    </xf>
    <xf numFmtId="4" fontId="1" fillId="3" borderId="17" xfId="2" applyNumberFormat="1" applyFont="1" applyFill="1" applyBorder="1" applyAlignment="1" applyProtection="1">
      <alignment horizontal="right"/>
      <protection locked="0"/>
    </xf>
    <xf numFmtId="0" fontId="0" fillId="3" borderId="11" xfId="0" applyFill="1" applyBorder="1" applyProtection="1">
      <protection locked="0"/>
    </xf>
    <xf numFmtId="0" fontId="1" fillId="0" borderId="0" xfId="0" applyFont="1"/>
    <xf numFmtId="0" fontId="4" fillId="0" borderId="22" xfId="0" applyFont="1" applyBorder="1"/>
    <xf numFmtId="0" fontId="0" fillId="0" borderId="23" xfId="0" applyBorder="1"/>
    <xf numFmtId="0" fontId="0" fillId="0" borderId="9" xfId="0" applyBorder="1"/>
    <xf numFmtId="0" fontId="0" fillId="0" borderId="19" xfId="0" applyBorder="1"/>
    <xf numFmtId="9" fontId="0" fillId="0" borderId="19" xfId="0" applyNumberFormat="1" applyBorder="1"/>
    <xf numFmtId="170" fontId="8" fillId="3" borderId="0" xfId="0" applyNumberFormat="1" applyFont="1" applyFill="1" applyProtection="1"/>
    <xf numFmtId="17" fontId="8" fillId="0" borderId="0" xfId="0" applyNumberFormat="1" applyFont="1"/>
    <xf numFmtId="0" fontId="9" fillId="0" borderId="0" xfId="0" applyFont="1" applyBorder="1"/>
    <xf numFmtId="0" fontId="8" fillId="7" borderId="0" xfId="0" applyFont="1" applyFill="1"/>
    <xf numFmtId="170" fontId="8" fillId="0" borderId="0" xfId="0" applyNumberFormat="1" applyFont="1" applyFill="1" applyAlignment="1" applyProtection="1">
      <alignment horizontal="center"/>
    </xf>
    <xf numFmtId="0" fontId="9" fillId="0" borderId="0" xfId="0" applyFont="1" applyBorder="1"/>
    <xf numFmtId="0" fontId="1" fillId="5" borderId="0" xfId="0" applyFont="1" applyFill="1"/>
    <xf numFmtId="1" fontId="0" fillId="0" borderId="0" xfId="0" applyNumberFormat="1" applyFont="1" applyFill="1"/>
    <xf numFmtId="9" fontId="4" fillId="0" borderId="0" xfId="0" applyNumberFormat="1" applyFont="1" applyFill="1" applyBorder="1" applyAlignment="1">
      <alignment horizontal="center"/>
    </xf>
    <xf numFmtId="9" fontId="4" fillId="0" borderId="0" xfId="0" applyNumberFormat="1" applyFont="1" applyBorder="1" applyAlignment="1">
      <alignment horizontal="center"/>
    </xf>
    <xf numFmtId="9" fontId="0" fillId="0" borderId="9" xfId="0" applyNumberFormat="1" applyBorder="1"/>
    <xf numFmtId="9" fontId="4" fillId="0" borderId="9" xfId="0" applyNumberFormat="1" applyFont="1" applyBorder="1" applyAlignment="1">
      <alignment horizontal="center"/>
    </xf>
    <xf numFmtId="9" fontId="4" fillId="0" borderId="19" xfId="0" applyNumberFormat="1" applyFont="1" applyBorder="1" applyAlignment="1">
      <alignment horizontal="center"/>
    </xf>
    <xf numFmtId="9" fontId="4" fillId="0" borderId="9" xfId="0" applyNumberFormat="1" applyFont="1" applyFill="1" applyBorder="1" applyAlignment="1">
      <alignment horizontal="center"/>
    </xf>
    <xf numFmtId="9" fontId="4" fillId="0" borderId="19" xfId="0" applyNumberFormat="1" applyFont="1" applyFill="1" applyBorder="1" applyAlignment="1">
      <alignment horizontal="center"/>
    </xf>
    <xf numFmtId="9" fontId="0" fillId="0" borderId="9" xfId="0" applyNumberFormat="1" applyFill="1" applyBorder="1"/>
    <xf numFmtId="0" fontId="0" fillId="0" borderId="13" xfId="0" applyBorder="1"/>
    <xf numFmtId="0" fontId="1" fillId="0" borderId="16" xfId="0" applyFont="1" applyBorder="1"/>
    <xf numFmtId="0" fontId="1" fillId="0" borderId="19" xfId="0" applyFont="1" applyBorder="1"/>
    <xf numFmtId="0" fontId="1" fillId="0" borderId="9" xfId="0" applyFont="1" applyBorder="1"/>
    <xf numFmtId="0" fontId="1" fillId="0" borderId="9" xfId="0" applyFont="1" applyFill="1" applyBorder="1"/>
    <xf numFmtId="0" fontId="1" fillId="0" borderId="10" xfId="0" applyFont="1" applyFill="1" applyBorder="1"/>
    <xf numFmtId="0" fontId="25" fillId="0" borderId="0" xfId="0" applyFont="1" applyAlignment="1">
      <alignment vertical="center" wrapText="1"/>
    </xf>
    <xf numFmtId="0" fontId="0" fillId="0" borderId="0" xfId="0" applyAlignment="1">
      <alignment wrapText="1"/>
    </xf>
    <xf numFmtId="0" fontId="24" fillId="0" borderId="0" xfId="0" applyFont="1" applyAlignment="1">
      <alignment vertical="center" wrapText="1"/>
    </xf>
    <xf numFmtId="0" fontId="26" fillId="0" borderId="0" xfId="0" applyFont="1"/>
    <xf numFmtId="0" fontId="21" fillId="0" borderId="0" xfId="0" applyFont="1" applyFill="1" applyBorder="1"/>
    <xf numFmtId="166" fontId="0" fillId="0" borderId="0" xfId="0" applyNumberFormat="1" applyFill="1" applyBorder="1"/>
    <xf numFmtId="1" fontId="0" fillId="0" borderId="0" xfId="0" applyNumberFormat="1" applyFill="1" applyBorder="1"/>
    <xf numFmtId="0" fontId="0" fillId="0" borderId="0" xfId="0" applyFill="1" applyBorder="1"/>
    <xf numFmtId="10" fontId="8" fillId="0" borderId="0" xfId="0" applyNumberFormat="1" applyFont="1"/>
    <xf numFmtId="10" fontId="9" fillId="0" borderId="0" xfId="0" applyNumberFormat="1" applyFont="1" applyAlignment="1">
      <alignment horizontal="center"/>
    </xf>
    <xf numFmtId="10" fontId="9" fillId="0" borderId="3" xfId="0" applyNumberFormat="1" applyFont="1" applyBorder="1" applyAlignment="1">
      <alignment horizontal="center"/>
    </xf>
    <xf numFmtId="10" fontId="8" fillId="0" borderId="0" xfId="6" applyNumberFormat="1" applyFont="1" applyBorder="1"/>
    <xf numFmtId="10" fontId="8" fillId="0" borderId="15" xfId="6" applyNumberFormat="1" applyFont="1" applyBorder="1"/>
    <xf numFmtId="10" fontId="8" fillId="0" borderId="0" xfId="6" applyNumberFormat="1" applyFont="1"/>
    <xf numFmtId="10" fontId="8" fillId="0" borderId="3" xfId="0" applyNumberFormat="1" applyFont="1" applyBorder="1"/>
    <xf numFmtId="10" fontId="8" fillId="2" borderId="4" xfId="6" applyNumberFormat="1" applyFont="1" applyFill="1" applyBorder="1"/>
    <xf numFmtId="0" fontId="9" fillId="0" borderId="0" xfId="0" applyFont="1" applyBorder="1"/>
    <xf numFmtId="0" fontId="8" fillId="0" borderId="0" xfId="0" applyFont="1" applyFill="1" applyProtection="1"/>
    <xf numFmtId="4" fontId="8" fillId="0" borderId="0" xfId="0" applyNumberFormat="1" applyFont="1" applyFill="1" applyProtection="1"/>
    <xf numFmtId="170" fontId="8" fillId="0" borderId="0" xfId="0" applyNumberFormat="1" applyFont="1" applyFill="1" applyProtection="1"/>
    <xf numFmtId="0" fontId="8" fillId="0" borderId="0" xfId="0" applyFont="1" applyFill="1" applyAlignment="1" applyProtection="1">
      <alignment horizontal="left"/>
    </xf>
    <xf numFmtId="3" fontId="9" fillId="0" borderId="0" xfId="1" applyNumberFormat="1" applyFont="1" applyFill="1" applyBorder="1" applyAlignment="1" applyProtection="1">
      <alignment horizontal="center"/>
    </xf>
    <xf numFmtId="43" fontId="8" fillId="0" borderId="0" xfId="1" applyFont="1" applyFill="1" applyProtection="1"/>
    <xf numFmtId="43" fontId="9" fillId="0" borderId="3" xfId="1" applyFont="1" applyFill="1" applyBorder="1" applyAlignment="1" applyProtection="1">
      <alignment horizontal="center"/>
    </xf>
    <xf numFmtId="3" fontId="9" fillId="0" borderId="3" xfId="1" applyNumberFormat="1" applyFont="1" applyFill="1" applyBorder="1" applyAlignment="1" applyProtection="1">
      <alignment horizontal="center"/>
    </xf>
    <xf numFmtId="43" fontId="8" fillId="0" borderId="0" xfId="1" applyFont="1" applyFill="1" applyBorder="1" applyProtection="1"/>
    <xf numFmtId="3" fontId="8" fillId="0" borderId="0" xfId="1" applyNumberFormat="1" applyFont="1" applyFill="1" applyBorder="1" applyProtection="1"/>
    <xf numFmtId="43" fontId="8" fillId="0" borderId="15" xfId="1" applyFont="1" applyFill="1" applyBorder="1" applyProtection="1"/>
    <xf numFmtId="3" fontId="8" fillId="0" borderId="15" xfId="1" applyNumberFormat="1" applyFont="1" applyFill="1" applyBorder="1" applyProtection="1"/>
    <xf numFmtId="0" fontId="11" fillId="0" borderId="14" xfId="0" applyFont="1" applyFill="1" applyBorder="1" applyProtection="1"/>
    <xf numFmtId="0" fontId="8" fillId="0" borderId="1" xfId="0" applyFont="1" applyFill="1" applyBorder="1" applyProtection="1"/>
    <xf numFmtId="169" fontId="8" fillId="0" borderId="1" xfId="0" applyNumberFormat="1" applyFont="1" applyFill="1" applyBorder="1" applyProtection="1"/>
    <xf numFmtId="4" fontId="8" fillId="0" borderId="1" xfId="0" applyNumberFormat="1" applyFont="1" applyFill="1" applyBorder="1" applyProtection="1"/>
    <xf numFmtId="43" fontId="8" fillId="0" borderId="1" xfId="1" applyFont="1" applyFill="1" applyBorder="1" applyProtection="1"/>
    <xf numFmtId="164" fontId="8" fillId="0" borderId="1" xfId="1" applyNumberFormat="1" applyFont="1" applyFill="1" applyBorder="1" applyProtection="1"/>
    <xf numFmtId="3" fontId="8" fillId="0" borderId="1" xfId="1" applyNumberFormat="1" applyFont="1" applyFill="1" applyBorder="1" applyProtection="1"/>
    <xf numFmtId="3" fontId="8" fillId="0" borderId="0" xfId="0" applyNumberFormat="1" applyFont="1" applyFill="1" applyProtection="1"/>
    <xf numFmtId="0" fontId="8" fillId="0" borderId="0" xfId="0" applyFont="1" applyFill="1" applyBorder="1" applyProtection="1"/>
    <xf numFmtId="0" fontId="12" fillId="0" borderId="0" xfId="0" applyFont="1" applyFill="1" applyBorder="1" applyProtection="1"/>
    <xf numFmtId="0" fontId="19" fillId="0" borderId="0" xfId="0" applyFont="1" applyFill="1" applyProtection="1"/>
    <xf numFmtId="0" fontId="10" fillId="0" borderId="0" xfId="0" applyFont="1" applyFill="1" applyProtection="1"/>
    <xf numFmtId="0" fontId="0" fillId="0" borderId="0" xfId="0" applyFill="1" applyProtection="1"/>
    <xf numFmtId="4" fontId="0" fillId="0" borderId="0" xfId="0" applyNumberFormat="1" applyFill="1" applyProtection="1"/>
    <xf numFmtId="3" fontId="0" fillId="0" borderId="0" xfId="0" applyNumberFormat="1" applyFill="1" applyProtection="1"/>
    <xf numFmtId="43" fontId="1" fillId="0" borderId="0" xfId="1" applyFill="1" applyProtection="1"/>
    <xf numFmtId="9" fontId="8" fillId="0" borderId="0" xfId="6" applyFont="1" applyFill="1" applyProtection="1"/>
    <xf numFmtId="0" fontId="8" fillId="0" borderId="0" xfId="0" applyFont="1" applyFill="1" applyAlignment="1" applyProtection="1">
      <alignment horizontal="center"/>
    </xf>
    <xf numFmtId="4" fontId="9" fillId="0" borderId="0" xfId="0" applyNumberFormat="1" applyFont="1" applyFill="1" applyAlignment="1" applyProtection="1">
      <alignment horizontal="center"/>
    </xf>
    <xf numFmtId="3" fontId="9" fillId="0" borderId="0" xfId="0" applyNumberFormat="1" applyFont="1" applyFill="1" applyAlignment="1" applyProtection="1">
      <alignment horizontal="center"/>
    </xf>
    <xf numFmtId="43" fontId="9" fillId="0" borderId="0" xfId="1" applyFont="1" applyFill="1" applyAlignment="1" applyProtection="1">
      <alignment horizontal="center"/>
    </xf>
    <xf numFmtId="0" fontId="9" fillId="0" borderId="0" xfId="0" applyFont="1" applyFill="1" applyBorder="1" applyProtection="1"/>
    <xf numFmtId="0" fontId="9" fillId="0" borderId="0" xfId="0" applyFont="1" applyFill="1" applyBorder="1" applyAlignment="1" applyProtection="1">
      <alignment horizontal="center"/>
    </xf>
    <xf numFmtId="4" fontId="9" fillId="0" borderId="0" xfId="0" applyNumberFormat="1" applyFont="1" applyFill="1" applyBorder="1" applyAlignment="1" applyProtection="1">
      <alignment horizontal="center"/>
    </xf>
    <xf numFmtId="43" fontId="9" fillId="0" borderId="0" xfId="1" applyFont="1" applyFill="1" applyBorder="1" applyAlignment="1" applyProtection="1">
      <alignment horizontal="center"/>
    </xf>
    <xf numFmtId="3" fontId="9" fillId="0" borderId="0" xfId="0" applyNumberFormat="1" applyFont="1" applyFill="1" applyBorder="1" applyAlignment="1" applyProtection="1">
      <alignment horizontal="center"/>
    </xf>
    <xf numFmtId="0" fontId="8" fillId="0" borderId="13" xfId="0" applyFont="1" applyFill="1" applyBorder="1" applyProtection="1"/>
    <xf numFmtId="0" fontId="8" fillId="0" borderId="8" xfId="0" applyFont="1" applyFill="1" applyBorder="1" applyProtection="1"/>
    <xf numFmtId="170" fontId="8" fillId="0" borderId="8" xfId="0" applyNumberFormat="1" applyFont="1" applyFill="1" applyBorder="1" applyProtection="1"/>
    <xf numFmtId="4" fontId="8" fillId="0" borderId="8" xfId="6" applyNumberFormat="1" applyFont="1" applyFill="1" applyBorder="1" applyProtection="1"/>
    <xf numFmtId="4" fontId="8" fillId="0" borderId="8" xfId="1" applyNumberFormat="1" applyFont="1" applyFill="1" applyBorder="1" applyProtection="1"/>
    <xf numFmtId="43" fontId="8" fillId="0" borderId="8" xfId="1" applyFont="1" applyFill="1" applyBorder="1" applyProtection="1"/>
    <xf numFmtId="164" fontId="8" fillId="0" borderId="8" xfId="1" applyNumberFormat="1" applyFont="1" applyFill="1" applyBorder="1" applyProtection="1"/>
    <xf numFmtId="3" fontId="8" fillId="0" borderId="8" xfId="1" applyNumberFormat="1" applyFont="1" applyFill="1" applyBorder="1" applyProtection="1"/>
    <xf numFmtId="165" fontId="8" fillId="0" borderId="8" xfId="6" applyNumberFormat="1" applyFont="1" applyFill="1" applyBorder="1" applyProtection="1"/>
    <xf numFmtId="9" fontId="8" fillId="0" borderId="16" xfId="6" applyFont="1" applyFill="1" applyBorder="1" applyProtection="1"/>
    <xf numFmtId="0" fontId="8" fillId="0" borderId="9" xfId="0" applyFont="1" applyFill="1" applyBorder="1" applyProtection="1"/>
    <xf numFmtId="170" fontId="8" fillId="0" borderId="0" xfId="0" applyNumberFormat="1" applyFont="1" applyFill="1" applyBorder="1" applyProtection="1"/>
    <xf numFmtId="9" fontId="8" fillId="0" borderId="0" xfId="6" applyFont="1" applyFill="1" applyBorder="1" applyProtection="1"/>
    <xf numFmtId="4" fontId="8" fillId="0" borderId="0" xfId="6" applyNumberFormat="1" applyFont="1" applyFill="1" applyBorder="1" applyProtection="1"/>
    <xf numFmtId="4" fontId="8" fillId="0" borderId="0" xfId="1" applyNumberFormat="1" applyFont="1" applyFill="1" applyBorder="1" applyProtection="1"/>
    <xf numFmtId="164" fontId="8" fillId="0" borderId="0" xfId="1" applyNumberFormat="1" applyFont="1" applyFill="1" applyBorder="1" applyProtection="1"/>
    <xf numFmtId="165" fontId="8" fillId="0" borderId="0" xfId="6" applyNumberFormat="1" applyFont="1" applyFill="1" applyBorder="1" applyProtection="1"/>
    <xf numFmtId="9" fontId="8" fillId="0" borderId="19" xfId="6" applyFont="1" applyFill="1" applyBorder="1" applyProtection="1"/>
    <xf numFmtId="0" fontId="8" fillId="0" borderId="10" xfId="0" applyFont="1" applyFill="1" applyBorder="1" applyProtection="1"/>
    <xf numFmtId="0" fontId="8" fillId="0" borderId="15" xfId="0" applyFont="1" applyFill="1" applyBorder="1" applyProtection="1"/>
    <xf numFmtId="170" fontId="8" fillId="0" borderId="15" xfId="0" applyNumberFormat="1" applyFont="1" applyFill="1" applyBorder="1" applyProtection="1"/>
    <xf numFmtId="9" fontId="8" fillId="0" borderId="15" xfId="6" applyFont="1" applyFill="1" applyBorder="1" applyProtection="1"/>
    <xf numFmtId="4" fontId="8" fillId="0" borderId="15" xfId="6" applyNumberFormat="1" applyFont="1" applyFill="1" applyBorder="1" applyProtection="1"/>
    <xf numFmtId="4" fontId="8" fillId="0" borderId="15" xfId="1" applyNumberFormat="1" applyFont="1" applyFill="1" applyBorder="1" applyProtection="1"/>
    <xf numFmtId="164" fontId="8" fillId="0" borderId="15" xfId="1" applyNumberFormat="1" applyFont="1" applyFill="1" applyBorder="1" applyProtection="1"/>
    <xf numFmtId="165" fontId="8" fillId="0" borderId="15" xfId="6" applyNumberFormat="1" applyFont="1" applyFill="1" applyBorder="1" applyProtection="1"/>
    <xf numFmtId="9" fontId="8" fillId="0" borderId="20" xfId="6" applyFont="1" applyFill="1" applyBorder="1" applyProtection="1"/>
    <xf numFmtId="0" fontId="8" fillId="0" borderId="3" xfId="0" applyFont="1" applyFill="1" applyBorder="1" applyProtection="1"/>
    <xf numFmtId="4" fontId="8" fillId="0" borderId="0" xfId="6" applyNumberFormat="1" applyFont="1" applyFill="1" applyProtection="1"/>
    <xf numFmtId="164" fontId="8" fillId="0" borderId="0" xfId="1" applyNumberFormat="1" applyFont="1" applyFill="1" applyProtection="1"/>
    <xf numFmtId="3" fontId="8" fillId="0" borderId="0" xfId="1" applyNumberFormat="1" applyFont="1" applyFill="1" applyProtection="1"/>
    <xf numFmtId="165" fontId="8" fillId="0" borderId="0" xfId="6" applyNumberFormat="1" applyFont="1" applyFill="1" applyProtection="1"/>
    <xf numFmtId="42" fontId="8" fillId="0" borderId="0" xfId="0" applyNumberFormat="1" applyFont="1" applyFill="1" applyProtection="1"/>
    <xf numFmtId="164" fontId="9" fillId="0" borderId="0" xfId="1" applyNumberFormat="1" applyFont="1" applyFill="1" applyAlignment="1" applyProtection="1">
      <alignment horizontal="center"/>
    </xf>
    <xf numFmtId="3" fontId="9" fillId="0" borderId="0" xfId="1" applyNumberFormat="1" applyFont="1" applyFill="1" applyAlignment="1" applyProtection="1">
      <alignment horizontal="center"/>
    </xf>
    <xf numFmtId="0" fontId="9" fillId="0" borderId="3" xfId="0" applyFont="1" applyFill="1" applyBorder="1" applyProtection="1"/>
    <xf numFmtId="0" fontId="9" fillId="0" borderId="3" xfId="0" applyFont="1" applyFill="1" applyBorder="1" applyAlignment="1" applyProtection="1">
      <alignment horizontal="center"/>
    </xf>
    <xf numFmtId="4" fontId="9" fillId="0" borderId="3" xfId="0" applyNumberFormat="1" applyFont="1" applyFill="1" applyBorder="1" applyAlignment="1" applyProtection="1">
      <alignment horizontal="center"/>
    </xf>
    <xf numFmtId="164" fontId="9" fillId="0" borderId="3" xfId="1" applyNumberFormat="1" applyFont="1" applyFill="1" applyBorder="1" applyAlignment="1" applyProtection="1">
      <alignment horizontal="center"/>
    </xf>
    <xf numFmtId="168" fontId="8" fillId="0" borderId="0" xfId="6" applyNumberFormat="1" applyFont="1" applyFill="1" applyProtection="1"/>
    <xf numFmtId="4" fontId="8" fillId="0" borderId="0" xfId="1" applyNumberFormat="1" applyFont="1" applyFill="1" applyProtection="1"/>
    <xf numFmtId="3" fontId="8" fillId="0" borderId="0" xfId="6" applyNumberFormat="1" applyFont="1" applyFill="1" applyProtection="1"/>
    <xf numFmtId="3" fontId="8" fillId="0" borderId="0" xfId="6" applyNumberFormat="1" applyFont="1" applyFill="1" applyAlignment="1" applyProtection="1">
      <alignment horizontal="right"/>
    </xf>
    <xf numFmtId="4" fontId="8" fillId="0" borderId="3" xfId="0" applyNumberFormat="1" applyFont="1" applyFill="1" applyBorder="1" applyProtection="1"/>
    <xf numFmtId="43" fontId="8" fillId="0" borderId="3" xfId="1" applyFont="1" applyFill="1" applyBorder="1" applyProtection="1"/>
    <xf numFmtId="164" fontId="8" fillId="0" borderId="3" xfId="1" applyNumberFormat="1" applyFont="1" applyFill="1" applyBorder="1" applyProtection="1"/>
    <xf numFmtId="3" fontId="8" fillId="0" borderId="3" xfId="1" applyNumberFormat="1" applyFont="1" applyFill="1" applyBorder="1" applyProtection="1"/>
    <xf numFmtId="165" fontId="8" fillId="0" borderId="3" xfId="6" applyNumberFormat="1" applyFont="1" applyFill="1" applyBorder="1" applyProtection="1"/>
    <xf numFmtId="0" fontId="11" fillId="0" borderId="0" xfId="0" applyFont="1" applyFill="1" applyProtection="1"/>
    <xf numFmtId="165" fontId="8" fillId="0" borderId="1" xfId="6" applyNumberFormat="1" applyFont="1" applyFill="1" applyBorder="1" applyProtection="1"/>
    <xf numFmtId="9" fontId="8" fillId="0" borderId="4" xfId="6" applyFont="1" applyFill="1" applyBorder="1" applyProtection="1"/>
    <xf numFmtId="9" fontId="8" fillId="10" borderId="0" xfId="6" applyFont="1" applyFill="1" applyProtection="1">
      <protection locked="0"/>
    </xf>
    <xf numFmtId="3" fontId="8" fillId="10" borderId="3" xfId="1" applyNumberFormat="1" applyFont="1" applyFill="1" applyBorder="1" applyProtection="1">
      <protection locked="0"/>
    </xf>
    <xf numFmtId="3" fontId="8" fillId="0" borderId="3" xfId="1" applyNumberFormat="1" applyFont="1" applyBorder="1" applyProtection="1">
      <protection locked="0"/>
    </xf>
    <xf numFmtId="170" fontId="8" fillId="10" borderId="0" xfId="0" applyNumberFormat="1" applyFont="1" applyFill="1" applyProtection="1">
      <protection locked="0"/>
    </xf>
    <xf numFmtId="1" fontId="8" fillId="0" borderId="8" xfId="6" applyNumberFormat="1" applyFont="1" applyFill="1" applyBorder="1" applyProtection="1"/>
    <xf numFmtId="1" fontId="8" fillId="0" borderId="0" xfId="6" applyNumberFormat="1" applyFont="1" applyFill="1" applyBorder="1" applyProtection="1"/>
    <xf numFmtId="1" fontId="8" fillId="0" borderId="15" xfId="6" applyNumberFormat="1" applyFont="1" applyFill="1" applyBorder="1" applyProtection="1"/>
    <xf numFmtId="1" fontId="21" fillId="0" borderId="0" xfId="0" applyNumberFormat="1" applyFont="1" applyFill="1" applyBorder="1"/>
    <xf numFmtId="1" fontId="1" fillId="0" borderId="0" xfId="0" applyNumberFormat="1" applyFont="1" applyFill="1" applyBorder="1"/>
    <xf numFmtId="0" fontId="27" fillId="0" borderId="0" xfId="0" applyFont="1"/>
    <xf numFmtId="3" fontId="26" fillId="0" borderId="0" xfId="1" applyNumberFormat="1" applyFont="1" applyBorder="1"/>
    <xf numFmtId="3" fontId="26" fillId="0" borderId="0" xfId="0" applyNumberFormat="1" applyFont="1"/>
    <xf numFmtId="0" fontId="26" fillId="0" borderId="15" xfId="0" applyFont="1" applyBorder="1"/>
    <xf numFmtId="0" fontId="26" fillId="0" borderId="0" xfId="0" applyFont="1" applyBorder="1"/>
    <xf numFmtId="0" fontId="26" fillId="0" borderId="3" xfId="0" applyFont="1" applyBorder="1"/>
    <xf numFmtId="0" fontId="26" fillId="11" borderId="0" xfId="0" applyFont="1" applyFill="1"/>
    <xf numFmtId="0" fontId="27" fillId="11" borderId="0" xfId="0" applyFont="1" applyFill="1"/>
    <xf numFmtId="3" fontId="26" fillId="11" borderId="0" xfId="1" applyNumberFormat="1" applyFont="1" applyFill="1" applyBorder="1"/>
    <xf numFmtId="3" fontId="26" fillId="11" borderId="0" xfId="0" applyNumberFormat="1" applyFont="1" applyFill="1"/>
    <xf numFmtId="0" fontId="26" fillId="11" borderId="15" xfId="0" applyFont="1" applyFill="1" applyBorder="1"/>
    <xf numFmtId="0" fontId="26" fillId="11" borderId="0" xfId="0" applyFont="1" applyFill="1" applyBorder="1"/>
    <xf numFmtId="0" fontId="26" fillId="11" borderId="3" xfId="0" applyFont="1" applyFill="1" applyBorder="1"/>
    <xf numFmtId="0" fontId="27" fillId="0" borderId="3" xfId="0" applyFont="1" applyBorder="1"/>
    <xf numFmtId="0" fontId="27" fillId="0" borderId="15" xfId="0" applyFont="1" applyBorder="1"/>
    <xf numFmtId="0" fontId="27" fillId="0" borderId="0" xfId="0" applyFont="1" applyBorder="1"/>
    <xf numFmtId="1" fontId="26" fillId="0" borderId="0" xfId="0" applyNumberFormat="1" applyFont="1" applyBorder="1"/>
    <xf numFmtId="1" fontId="27" fillId="0" borderId="0" xfId="0" applyNumberFormat="1" applyFont="1" applyBorder="1"/>
    <xf numFmtId="164" fontId="28" fillId="0" borderId="0" xfId="1" applyNumberFormat="1" applyFont="1" applyAlignment="1">
      <alignment horizontal="center"/>
    </xf>
    <xf numFmtId="0" fontId="28" fillId="0" borderId="0" xfId="0" applyFont="1" applyAlignment="1">
      <alignment horizontal="center"/>
    </xf>
    <xf numFmtId="0" fontId="9" fillId="0" borderId="0" xfId="0" applyFont="1" applyFill="1" applyBorder="1" applyProtection="1"/>
    <xf numFmtId="0" fontId="9" fillId="0" borderId="0" xfId="0" applyFont="1" applyBorder="1"/>
    <xf numFmtId="0" fontId="8" fillId="6" borderId="0" xfId="0" applyFont="1" applyFill="1" applyAlignment="1">
      <alignment horizontal="center"/>
    </xf>
    <xf numFmtId="0" fontId="21" fillId="8" borderId="0" xfId="0" applyFont="1" applyFill="1" applyAlignment="1">
      <alignment horizontal="center"/>
    </xf>
    <xf numFmtId="0" fontId="1" fillId="6" borderId="0" xfId="0" applyFont="1" applyFill="1" applyAlignment="1">
      <alignment horizontal="center"/>
    </xf>
    <xf numFmtId="0" fontId="21" fillId="6" borderId="0" xfId="0" applyFont="1" applyFill="1" applyAlignment="1">
      <alignment horizontal="center"/>
    </xf>
    <xf numFmtId="0" fontId="21" fillId="9" borderId="0" xfId="0" applyFont="1" applyFill="1" applyAlignment="1">
      <alignment horizontal="center"/>
    </xf>
    <xf numFmtId="0" fontId="21" fillId="7" borderId="0" xfId="0" applyFont="1" applyFill="1" applyAlignment="1">
      <alignment horizontal="center"/>
    </xf>
    <xf numFmtId="0" fontId="1" fillId="7" borderId="0" xfId="0" applyFont="1" applyFill="1" applyAlignment="1">
      <alignment horizontal="center"/>
    </xf>
    <xf numFmtId="0" fontId="1" fillId="8" borderId="0" xfId="0" applyFont="1" applyFill="1" applyAlignment="1">
      <alignment horizontal="center"/>
    </xf>
    <xf numFmtId="0" fontId="1" fillId="9" borderId="0" xfId="0" applyFont="1" applyFill="1" applyAlignment="1">
      <alignment horizontal="center"/>
    </xf>
    <xf numFmtId="0" fontId="1" fillId="0" borderId="0" xfId="0" applyFont="1" applyFill="1" applyBorder="1" applyAlignment="1">
      <alignment horizontal="center"/>
    </xf>
    <xf numFmtId="0" fontId="21" fillId="0" borderId="0" xfId="0" applyFont="1" applyFill="1" applyBorder="1" applyAlignment="1">
      <alignment horizontal="center"/>
    </xf>
    <xf numFmtId="0" fontId="4" fillId="0" borderId="13" xfId="0" applyFont="1" applyBorder="1" applyAlignment="1">
      <alignment horizontal="center"/>
    </xf>
    <xf numFmtId="0" fontId="4" fillId="0" borderId="16" xfId="0" applyFont="1" applyBorder="1" applyAlignment="1">
      <alignment horizontal="center"/>
    </xf>
    <xf numFmtId="0" fontId="4" fillId="9" borderId="0" xfId="0" applyFont="1" applyFill="1" applyAlignment="1">
      <alignment horizontal="center"/>
    </xf>
    <xf numFmtId="0" fontId="20" fillId="9" borderId="8" xfId="0" applyFont="1" applyFill="1" applyBorder="1" applyAlignment="1">
      <alignment horizontal="center"/>
    </xf>
  </cellXfs>
  <cellStyles count="7">
    <cellStyle name="Comma" xfId="1" builtinId="3"/>
    <cellStyle name="Currency" xfId="2" builtinId="4"/>
    <cellStyle name="Header1" xfId="3"/>
    <cellStyle name="Header2" xfId="4"/>
    <cellStyle name="Normal" xfId="0" builtinId="0"/>
    <cellStyle name="Normal_BSW GHC CSS 16DEC05" xfId="5"/>
    <cellStyle name="Percent" xfId="6" builtinId="5"/>
  </cellStyles>
  <dxfs count="0"/>
  <tableStyles count="0" defaultTableStyle="TableStyleMedium9"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ER46"/>
  <sheetViews>
    <sheetView tabSelected="1" workbookViewId="0">
      <selection activeCell="D17" sqref="D17"/>
    </sheetView>
  </sheetViews>
  <sheetFormatPr defaultColWidth="9.33203125" defaultRowHeight="13.8" x14ac:dyDescent="0.3"/>
  <cols>
    <col min="1" max="1" width="27.109375" style="2" bestFit="1" customWidth="1"/>
    <col min="2" max="2" width="21" style="5" customWidth="1"/>
    <col min="3" max="3" width="15.33203125" style="2" customWidth="1"/>
    <col min="4" max="4" width="13.6640625" style="2" bestFit="1" customWidth="1"/>
    <col min="5" max="5" width="13.77734375" style="2" customWidth="1"/>
    <col min="6" max="6" width="7" style="2" customWidth="1"/>
    <col min="7" max="7" width="15.109375" style="2" bestFit="1" customWidth="1"/>
    <col min="8" max="8" width="14.109375" style="2" customWidth="1"/>
    <col min="9" max="9" width="15.109375" style="2" bestFit="1" customWidth="1"/>
    <col min="10" max="10" width="14.109375" style="2" customWidth="1"/>
    <col min="11" max="11" width="10" style="2" customWidth="1"/>
    <col min="12" max="12" width="12.33203125" style="2" customWidth="1"/>
    <col min="13" max="13" width="11.44140625" style="2" customWidth="1"/>
    <col min="14" max="14" width="10.77734375" style="31" customWidth="1"/>
    <col min="15" max="15" width="11.6640625" style="2" customWidth="1"/>
    <col min="16" max="16" width="11.44140625" style="2" customWidth="1"/>
    <col min="17" max="17" width="10" style="2" customWidth="1"/>
    <col min="18" max="18" width="11.109375" style="2" customWidth="1"/>
    <col min="19" max="19" width="10.77734375" style="2" customWidth="1"/>
    <col min="20" max="20" width="9.33203125" style="2"/>
    <col min="21" max="22" width="9.33203125" style="41"/>
    <col min="23" max="23" width="27.6640625" style="41" bestFit="1" customWidth="1"/>
    <col min="24" max="24" width="12.109375" style="41" customWidth="1"/>
    <col min="25" max="25" width="21.33203125" style="41" bestFit="1" customWidth="1"/>
    <col min="26" max="148" width="9.33203125" style="41"/>
    <col min="149" max="16384" width="9.33203125" style="2"/>
  </cols>
  <sheetData>
    <row r="1" spans="1:23" x14ac:dyDescent="0.3">
      <c r="A1" s="2" t="s">
        <v>219</v>
      </c>
      <c r="B1" s="86" t="s">
        <v>243</v>
      </c>
      <c r="D1" s="124" t="s">
        <v>168</v>
      </c>
      <c r="E1" s="124"/>
      <c r="F1" s="124"/>
      <c r="G1" s="124"/>
      <c r="H1" s="124"/>
    </row>
    <row r="2" spans="1:23" x14ac:dyDescent="0.3">
      <c r="A2" s="2" t="s">
        <v>220</v>
      </c>
      <c r="B2" s="86" t="s">
        <v>244</v>
      </c>
      <c r="D2" s="124" t="s">
        <v>223</v>
      </c>
      <c r="E2" s="124"/>
      <c r="F2" s="124"/>
      <c r="G2" s="124"/>
      <c r="H2" s="124"/>
    </row>
    <row r="3" spans="1:23" x14ac:dyDescent="0.3">
      <c r="A3" s="2" t="s">
        <v>164</v>
      </c>
      <c r="B3" s="86" t="s">
        <v>257</v>
      </c>
      <c r="W3" s="42"/>
    </row>
    <row r="4" spans="1:23" x14ac:dyDescent="0.3">
      <c r="A4" s="2" t="s">
        <v>2</v>
      </c>
      <c r="B4" s="58" t="s">
        <v>29</v>
      </c>
      <c r="W4" s="42"/>
    </row>
    <row r="5" spans="1:23" x14ac:dyDescent="0.3">
      <c r="A5" s="2" t="s">
        <v>3</v>
      </c>
      <c r="B5" s="98" t="s">
        <v>1</v>
      </c>
      <c r="D5" s="4" t="str">
        <f>IF(B5="SELECT ONE","YOU MUST ENTER BILLING TYPE"," ")</f>
        <v xml:space="preserve"> </v>
      </c>
      <c r="I5" s="2" t="s">
        <v>161</v>
      </c>
      <c r="J5" s="198">
        <v>0.5</v>
      </c>
      <c r="W5" s="42"/>
    </row>
    <row r="6" spans="1:23" x14ac:dyDescent="0.3">
      <c r="A6" s="2" t="s">
        <v>150</v>
      </c>
      <c r="B6" s="98" t="s">
        <v>138</v>
      </c>
      <c r="D6" s="4" t="str">
        <f>IF(B6="SELECT ONE","YOU MUST ENTER MARKET"," ")</f>
        <v xml:space="preserve"> </v>
      </c>
      <c r="W6" s="42"/>
    </row>
    <row r="7" spans="1:23" x14ac:dyDescent="0.3">
      <c r="A7" s="2" t="s">
        <v>4</v>
      </c>
      <c r="B7" s="239">
        <f>MIN(Inception!B6,Elaboration!B6,Construction!B6,Transition!B6,'SPRINT ZERO'!B6,'SPRINT 1-N'!B6,'SPRINT Z'!B6,SE!B6)</f>
        <v>43070</v>
      </c>
      <c r="W7" s="42"/>
    </row>
    <row r="8" spans="1:23" x14ac:dyDescent="0.3">
      <c r="A8" s="2" t="s">
        <v>5</v>
      </c>
      <c r="B8" s="85">
        <f>MAX(Inception!B7,Elaboration!B7,Construction!B7,Transition!B7,SE!B7,'SPRINT ZERO'!B7,'SPRINT 1-N'!B7,'SPRINT Z'!B7)</f>
        <v>43435</v>
      </c>
      <c r="C8" s="4"/>
      <c r="D8"/>
      <c r="E8"/>
      <c r="F8"/>
      <c r="G8"/>
      <c r="H8"/>
      <c r="I8"/>
      <c r="J8"/>
      <c r="K8"/>
      <c r="L8"/>
      <c r="M8"/>
      <c r="N8" s="50"/>
      <c r="O8"/>
      <c r="W8" s="42"/>
    </row>
    <row r="9" spans="1:23" x14ac:dyDescent="0.3">
      <c r="A9" s="2" t="s">
        <v>6</v>
      </c>
      <c r="B9" s="98" t="s">
        <v>242</v>
      </c>
      <c r="C9" s="4"/>
      <c r="D9" t="s">
        <v>93</v>
      </c>
      <c r="E9"/>
      <c r="F9"/>
      <c r="G9"/>
      <c r="H9"/>
      <c r="I9"/>
      <c r="J9"/>
      <c r="K9"/>
      <c r="L9"/>
      <c r="M9"/>
      <c r="N9" s="50"/>
      <c r="O9"/>
      <c r="W9" s="42"/>
    </row>
    <row r="10" spans="1:23" x14ac:dyDescent="0.3">
      <c r="A10" s="2" t="s">
        <v>92</v>
      </c>
      <c r="B10" s="98" t="s">
        <v>195</v>
      </c>
      <c r="C10" s="4"/>
      <c r="D10" s="140" t="s">
        <v>167</v>
      </c>
      <c r="E10" s="140"/>
      <c r="F10" s="140"/>
      <c r="G10" s="140"/>
      <c r="H10"/>
      <c r="I10"/>
      <c r="J10"/>
      <c r="K10"/>
      <c r="L10"/>
      <c r="M10"/>
      <c r="N10" s="50"/>
      <c r="O10"/>
      <c r="W10" s="42"/>
    </row>
    <row r="11" spans="1:23" x14ac:dyDescent="0.3">
      <c r="A11" s="2" t="s">
        <v>221</v>
      </c>
      <c r="B11" s="98" t="s">
        <v>254</v>
      </c>
      <c r="C11" s="4"/>
      <c r="D11" s="140" t="s">
        <v>95</v>
      </c>
      <c r="E11" s="140"/>
      <c r="F11" s="140"/>
      <c r="G11" s="140"/>
      <c r="H11"/>
      <c r="I11"/>
      <c r="J11"/>
      <c r="K11"/>
      <c r="L11"/>
      <c r="M11"/>
      <c r="N11" s="50"/>
      <c r="O11"/>
      <c r="W11" s="42"/>
    </row>
    <row r="12" spans="1:23" x14ac:dyDescent="0.3">
      <c r="A12" s="2" t="s">
        <v>225</v>
      </c>
      <c r="B12" s="98" t="s">
        <v>255</v>
      </c>
      <c r="C12" s="4"/>
      <c r="D12" s="241" t="s">
        <v>218</v>
      </c>
      <c r="E12" s="140"/>
      <c r="F12" s="140"/>
      <c r="G12" s="140"/>
      <c r="H12"/>
      <c r="I12"/>
      <c r="J12"/>
      <c r="K12"/>
      <c r="L12"/>
      <c r="M12"/>
      <c r="N12" s="50"/>
      <c r="O12"/>
      <c r="W12" s="42"/>
    </row>
    <row r="13" spans="1:23" x14ac:dyDescent="0.3">
      <c r="A13" s="2" t="s">
        <v>222</v>
      </c>
      <c r="B13" s="98" t="s">
        <v>256</v>
      </c>
      <c r="C13" s="4"/>
      <c r="D13" s="241" t="s">
        <v>224</v>
      </c>
      <c r="E13" s="140"/>
      <c r="F13" s="140"/>
      <c r="G13" s="140"/>
      <c r="H13"/>
      <c r="I13"/>
      <c r="J13"/>
      <c r="K13"/>
      <c r="L13"/>
      <c r="M13"/>
      <c r="N13" s="50"/>
      <c r="O13"/>
      <c r="W13" s="42"/>
    </row>
    <row r="14" spans="1:23" x14ac:dyDescent="0.3">
      <c r="A14" s="2" t="s">
        <v>72</v>
      </c>
      <c r="B14" s="195" t="str">
        <f>IF($B$6="NA","USD",IF($B$6="ITALY","EUR",IF($B$6="SWITZERLAND-EUR","EURO",IF($B$6="SWITZERLAND-CHF","CHF",IF($B$6="UK-GBP","GBP",IF($B$6="UK-EURO","EUR",IF($B$6="UK-USD","USD",IF($B$6="AUS","AUD",IF($B$6="TURKEY-USD","USD",IF($B$6="TURKEY-TKL","TKL",IF($B$6="HONG KONG","USD",IF($B$6="JAPAN","JPY","EUR"))))))))))))</f>
        <v>USD</v>
      </c>
      <c r="C14" s="4"/>
      <c r="D14" s="3"/>
      <c r="E14" s="145"/>
      <c r="F14" s="145"/>
      <c r="G14" s="145"/>
      <c r="H14"/>
      <c r="I14"/>
      <c r="J14"/>
      <c r="K14"/>
      <c r="L14"/>
      <c r="M14"/>
      <c r="N14" s="50"/>
      <c r="O14"/>
      <c r="W14" s="42"/>
    </row>
    <row r="15" spans="1:23" x14ac:dyDescent="0.3">
      <c r="A15" s="2" t="s">
        <v>30</v>
      </c>
      <c r="B15" s="56">
        <f>Inception!O53+Elaboration!O53+Construction!O53+Transition!O53+SE!O53+'SPRINT ZERO'!O53+'SPRINT 1-N'!O53+'SPRINT Z'!O53</f>
        <v>112230</v>
      </c>
      <c r="D15" s="52"/>
      <c r="E15" s="52"/>
      <c r="F15" s="52"/>
      <c r="G15" s="52"/>
      <c r="H15" s="52"/>
      <c r="I15" s="52"/>
      <c r="J15" s="52"/>
      <c r="K15" s="52"/>
      <c r="W15" s="42"/>
    </row>
    <row r="16" spans="1:23" x14ac:dyDescent="0.3">
      <c r="A16" s="2" t="s">
        <v>31</v>
      </c>
      <c r="B16" s="56">
        <f>Inception!L51+Elaboration!L51+Construction!L51+Transition!L51+SE!L51+'SPRINT ZERO'!L51+'SPRINT 1-N'!L51+'SPRINT Z'!L51</f>
        <v>256557.78000000003</v>
      </c>
      <c r="D16" s="4" t="str">
        <f>IF(B10="SELECT ONE","YOU MUST ENTER LICENSE DEAL"," ")</f>
        <v xml:space="preserve"> </v>
      </c>
      <c r="W16" s="42"/>
    </row>
    <row r="17" spans="1:12" x14ac:dyDescent="0.3">
      <c r="A17" s="2" t="s">
        <v>32</v>
      </c>
      <c r="B17" s="57">
        <f>B15-B16</f>
        <v>-144327.78000000003</v>
      </c>
      <c r="D17" s="4" t="str">
        <f>IF(B11="SELECT ONE","YOU MUST ENTER Method of Delivery"," ")</f>
        <v xml:space="preserve"> </v>
      </c>
    </row>
    <row r="18" spans="1:12" x14ac:dyDescent="0.3">
      <c r="A18" s="2" t="s">
        <v>33</v>
      </c>
      <c r="B18" s="59">
        <f>IF(B15=0,"",B17/B15)</f>
        <v>-1.2860000000000003</v>
      </c>
    </row>
    <row r="19" spans="1:12" x14ac:dyDescent="0.3">
      <c r="A19" s="2" t="s">
        <v>227</v>
      </c>
      <c r="B19" s="6" t="str">
        <f>IF(B6="NA","NA",IF(B6="AUS","APAC",IF(B6="HONG KONG","APAC",IF(B6="JAPAN","JAPAN","EU"))))</f>
        <v>NA</v>
      </c>
      <c r="C19" s="4" t="str">
        <f>IF(B18&lt;Margin_Target,"Below 50% Margin"," ")</f>
        <v>Below 50% Margin</v>
      </c>
    </row>
    <row r="20" spans="1:12" ht="14.4" thickBot="1" x14ac:dyDescent="0.35">
      <c r="A20" s="390">
        <f>Inception!U24+Elaboration!U24+Construction!U24+Transition!U24+SE!U24+'SPRINT ZERO'!U24+'SPRINT 1-N'!U24+'SPRINT Z'!U24</f>
        <v>0</v>
      </c>
      <c r="B20" s="391" t="b">
        <f>IF(B6="NA",IF(A20&gt;0,"YES"))</f>
        <v>0</v>
      </c>
    </row>
    <row r="21" spans="1:12" x14ac:dyDescent="0.3">
      <c r="A21" s="63" t="s">
        <v>148</v>
      </c>
      <c r="B21" s="76"/>
      <c r="C21" s="53"/>
      <c r="D21" s="53"/>
      <c r="E21" s="53"/>
      <c r="F21" s="76"/>
      <c r="G21" s="53"/>
      <c r="H21" s="53"/>
      <c r="I21" s="53"/>
      <c r="J21" s="53"/>
      <c r="K21" s="53"/>
      <c r="L21" s="77"/>
    </row>
    <row r="22" spans="1:12" x14ac:dyDescent="0.3">
      <c r="A22" s="54"/>
      <c r="B22" s="78" t="s">
        <v>64</v>
      </c>
      <c r="C22" s="78" t="s">
        <v>61</v>
      </c>
      <c r="D22" s="78" t="s">
        <v>15</v>
      </c>
      <c r="E22" s="78" t="s">
        <v>14</v>
      </c>
      <c r="F22" s="78"/>
      <c r="G22" s="78" t="s">
        <v>30</v>
      </c>
      <c r="H22" s="78" t="s">
        <v>10</v>
      </c>
      <c r="I22" s="78" t="s">
        <v>31</v>
      </c>
      <c r="J22" s="78" t="s">
        <v>32</v>
      </c>
      <c r="K22" s="78" t="s">
        <v>33</v>
      </c>
      <c r="L22" s="157" t="s">
        <v>142</v>
      </c>
    </row>
    <row r="23" spans="1:12" x14ac:dyDescent="0.3">
      <c r="A23" s="54" t="s">
        <v>187</v>
      </c>
      <c r="B23" s="79">
        <f>'SPRINT ZERO'!H51</f>
        <v>0</v>
      </c>
      <c r="C23" s="80">
        <f>'SPRINT ZERO'!O24+'SPRINT ZERO'!O35</f>
        <v>0</v>
      </c>
      <c r="D23" s="80">
        <f>'SPRINT ZERO'!O39+'SPRINT ZERO'!O38</f>
        <v>0</v>
      </c>
      <c r="E23" s="80">
        <f>'SPRINT ZERO'!O37</f>
        <v>0</v>
      </c>
      <c r="F23" s="80"/>
      <c r="G23" s="113">
        <f>'SPRINT ZERO'!O53</f>
        <v>0</v>
      </c>
      <c r="H23" s="80">
        <f>'SPRINT ZERO'!J51</f>
        <v>0</v>
      </c>
      <c r="I23" s="80">
        <f>'SPRINT ZERO'!L51</f>
        <v>0</v>
      </c>
      <c r="J23" s="80">
        <f t="shared" ref="J23:J31" si="0">G23-I23</f>
        <v>0</v>
      </c>
      <c r="K23" s="155">
        <f t="shared" ref="K23:K31" si="1">IF(G23&gt;0,J23/G23,0)</f>
        <v>0</v>
      </c>
      <c r="L23" s="199">
        <f t="shared" ref="L23:L31" si="2">IF(B23&gt;0,G23/B23,0)</f>
        <v>0</v>
      </c>
    </row>
    <row r="24" spans="1:12" x14ac:dyDescent="0.3">
      <c r="A24" s="54" t="s">
        <v>188</v>
      </c>
      <c r="B24" s="79">
        <f>'SPRINT 1-N'!H$51</f>
        <v>2244.6</v>
      </c>
      <c r="C24" s="80">
        <f>'SPRINT 1-N'!O$24+'SPRINT 1-N'!O$35</f>
        <v>104400</v>
      </c>
      <c r="D24" s="80">
        <f>'SPRINT 1-N'!O$39+'SPRINT 1-N'!O$38</f>
        <v>0</v>
      </c>
      <c r="E24" s="80">
        <f>'SPRINT 1-N'!O$37</f>
        <v>7830</v>
      </c>
      <c r="F24" s="80"/>
      <c r="G24" s="113">
        <f>'SPRINT 1-N'!O$53</f>
        <v>112230</v>
      </c>
      <c r="H24" s="80">
        <f>'SPRINT 1-N'!J$51</f>
        <v>690214.5</v>
      </c>
      <c r="I24" s="80">
        <f>'SPRINT 1-N'!L$51</f>
        <v>256557.78000000003</v>
      </c>
      <c r="J24" s="80">
        <f t="shared" ref="J24" si="3">G24-I24</f>
        <v>-144327.78000000003</v>
      </c>
      <c r="K24" s="155">
        <f t="shared" ref="K24" si="4">IF(G24&gt;0,J24/G24,0)</f>
        <v>-1.2860000000000003</v>
      </c>
      <c r="L24" s="199">
        <f t="shared" ref="L24" si="5">IF(B24&gt;0,G24/B24,0)</f>
        <v>50</v>
      </c>
    </row>
    <row r="25" spans="1:12" x14ac:dyDescent="0.3">
      <c r="A25" s="54" t="s">
        <v>196</v>
      </c>
      <c r="B25" s="79">
        <f>'SPRINT Z'!H$51</f>
        <v>0</v>
      </c>
      <c r="C25" s="80">
        <f>'SPRINT Z'!O$24+'SPRINT Z'!O$35</f>
        <v>0</v>
      </c>
      <c r="D25" s="80">
        <f>'SPRINT Z'!O$39+'SPRINT Z'!O$38</f>
        <v>0</v>
      </c>
      <c r="E25" s="80">
        <f>'SPRINT Z'!O$37</f>
        <v>0</v>
      </c>
      <c r="F25" s="80"/>
      <c r="G25" s="113">
        <f>'SPRINT Z'!O$53</f>
        <v>0</v>
      </c>
      <c r="H25" s="80">
        <f>'SPRINT Z'!J$51</f>
        <v>0</v>
      </c>
      <c r="I25" s="80">
        <f>'SPRINT Z'!L$51</f>
        <v>0</v>
      </c>
      <c r="J25" s="80">
        <f t="shared" ref="J25" si="6">G25-I25</f>
        <v>0</v>
      </c>
      <c r="K25" s="155">
        <f t="shared" ref="K25" si="7">IF(G25&gt;0,J25/G25,0)</f>
        <v>0</v>
      </c>
      <c r="L25" s="199">
        <f t="shared" ref="L25" si="8">IF(B25&gt;0,G25/B25,0)</f>
        <v>0</v>
      </c>
    </row>
    <row r="26" spans="1:12" x14ac:dyDescent="0.3">
      <c r="A26" s="54" t="s">
        <v>97</v>
      </c>
      <c r="B26" s="79">
        <f>Inception!H51</f>
        <v>0</v>
      </c>
      <c r="C26" s="80">
        <f>Inception!O24+Inception!O35</f>
        <v>0</v>
      </c>
      <c r="D26" s="80">
        <f>Inception!O39+Inception!O38</f>
        <v>0</v>
      </c>
      <c r="E26" s="80">
        <f>Inception!O37</f>
        <v>0</v>
      </c>
      <c r="F26" s="80"/>
      <c r="G26" s="113">
        <f>Inception!O53</f>
        <v>0</v>
      </c>
      <c r="H26" s="80">
        <f>Inception!J51</f>
        <v>0</v>
      </c>
      <c r="I26" s="80">
        <f>Inception!L51</f>
        <v>0</v>
      </c>
      <c r="J26" s="80">
        <f t="shared" ref="J26" si="9">G26-I26</f>
        <v>0</v>
      </c>
      <c r="K26" s="155">
        <f t="shared" ref="K26" si="10">IF(G26&gt;0,J26/G26,0)</f>
        <v>0</v>
      </c>
      <c r="L26" s="199">
        <f t="shared" ref="L26" si="11">IF(B26&gt;0,G26/B26,0)</f>
        <v>0</v>
      </c>
    </row>
    <row r="27" spans="1:12" x14ac:dyDescent="0.3">
      <c r="A27" s="54" t="s">
        <v>76</v>
      </c>
      <c r="B27" s="79">
        <f>Elaboration!H51</f>
        <v>0</v>
      </c>
      <c r="C27" s="80">
        <f>Elaboration!O24+Elaboration!O35</f>
        <v>0</v>
      </c>
      <c r="D27" s="80">
        <f>Elaboration!O39+Elaboration!O38</f>
        <v>0</v>
      </c>
      <c r="E27" s="80">
        <f>Elaboration!O37</f>
        <v>0</v>
      </c>
      <c r="F27" s="80"/>
      <c r="G27" s="113">
        <f>Elaboration!O53</f>
        <v>0</v>
      </c>
      <c r="H27" s="80">
        <f>Elaboration!J51</f>
        <v>0</v>
      </c>
      <c r="I27" s="80">
        <f>Elaboration!L51</f>
        <v>0</v>
      </c>
      <c r="J27" s="80">
        <f t="shared" si="0"/>
        <v>0</v>
      </c>
      <c r="K27" s="155">
        <f t="shared" si="1"/>
        <v>0</v>
      </c>
      <c r="L27" s="199">
        <f t="shared" si="2"/>
        <v>0</v>
      </c>
    </row>
    <row r="28" spans="1:12" x14ac:dyDescent="0.3">
      <c r="A28" s="54" t="s">
        <v>77</v>
      </c>
      <c r="B28" s="79">
        <f>Construction!H51</f>
        <v>0</v>
      </c>
      <c r="C28" s="80">
        <f>Construction!O24+Construction!O35</f>
        <v>0</v>
      </c>
      <c r="D28" s="80">
        <f>Construction!O39+Construction!O38</f>
        <v>0</v>
      </c>
      <c r="E28" s="80">
        <f>Construction!O37</f>
        <v>0</v>
      </c>
      <c r="F28" s="80"/>
      <c r="G28" s="113">
        <f>Construction!O53</f>
        <v>0</v>
      </c>
      <c r="H28" s="80">
        <f>Construction!J51</f>
        <v>0</v>
      </c>
      <c r="I28" s="80">
        <f>Construction!L51</f>
        <v>0</v>
      </c>
      <c r="J28" s="80">
        <f t="shared" si="0"/>
        <v>0</v>
      </c>
      <c r="K28" s="155">
        <f t="shared" si="1"/>
        <v>0</v>
      </c>
      <c r="L28" s="199">
        <f t="shared" si="2"/>
        <v>0</v>
      </c>
    </row>
    <row r="29" spans="1:12" x14ac:dyDescent="0.3">
      <c r="A29" s="54" t="s">
        <v>78</v>
      </c>
      <c r="B29" s="79">
        <f>Transition!H51</f>
        <v>0</v>
      </c>
      <c r="C29" s="80">
        <f>Transition!O24+Transition!O35</f>
        <v>0</v>
      </c>
      <c r="D29" s="80">
        <f>Transition!O39+Transition!O38</f>
        <v>0</v>
      </c>
      <c r="E29" s="80">
        <f>Transition!O37</f>
        <v>0</v>
      </c>
      <c r="F29" s="80"/>
      <c r="G29" s="113">
        <f>Transition!O53</f>
        <v>0</v>
      </c>
      <c r="H29" s="80">
        <f>Transition!J51</f>
        <v>0</v>
      </c>
      <c r="I29" s="80">
        <f>Transition!L51</f>
        <v>0</v>
      </c>
      <c r="J29" s="80">
        <f t="shared" si="0"/>
        <v>0</v>
      </c>
      <c r="K29" s="155">
        <f t="shared" si="1"/>
        <v>0</v>
      </c>
      <c r="L29" s="199">
        <f t="shared" si="2"/>
        <v>0</v>
      </c>
    </row>
    <row r="30" spans="1:12" ht="15.6" x14ac:dyDescent="0.45">
      <c r="A30" s="54" t="s">
        <v>34</v>
      </c>
      <c r="B30" s="83">
        <f>SE!H51</f>
        <v>0</v>
      </c>
      <c r="C30" s="84">
        <f>SE!O24+SE!O35</f>
        <v>0</v>
      </c>
      <c r="D30" s="84">
        <f>SE!O39+SE!O38</f>
        <v>0</v>
      </c>
      <c r="E30" s="84">
        <f>SE!O37</f>
        <v>0</v>
      </c>
      <c r="F30" s="80"/>
      <c r="G30" s="114">
        <f>SE!O53</f>
        <v>0</v>
      </c>
      <c r="H30" s="84">
        <f>SE!J51</f>
        <v>0</v>
      </c>
      <c r="I30" s="84">
        <f>SE!L51</f>
        <v>0</v>
      </c>
      <c r="J30" s="84">
        <f t="shared" si="0"/>
        <v>0</v>
      </c>
      <c r="K30" s="156">
        <f t="shared" si="1"/>
        <v>0</v>
      </c>
      <c r="L30" s="201">
        <f t="shared" si="2"/>
        <v>0</v>
      </c>
    </row>
    <row r="31" spans="1:12" ht="14.4" thickBot="1" x14ac:dyDescent="0.35">
      <c r="A31" s="55" t="s">
        <v>26</v>
      </c>
      <c r="B31" s="81">
        <f>SUM(B23:B30)</f>
        <v>2244.6</v>
      </c>
      <c r="C31" s="81">
        <f t="shared" ref="C31:I31" si="12">SUM(C23:C30)</f>
        <v>104400</v>
      </c>
      <c r="D31" s="81">
        <f t="shared" si="12"/>
        <v>0</v>
      </c>
      <c r="E31" s="81">
        <f t="shared" si="12"/>
        <v>7830</v>
      </c>
      <c r="F31" s="81"/>
      <c r="G31" s="115">
        <f t="shared" si="12"/>
        <v>112230</v>
      </c>
      <c r="H31" s="81">
        <f>SUM(H23:H30)</f>
        <v>690214.5</v>
      </c>
      <c r="I31" s="81">
        <f t="shared" si="12"/>
        <v>256557.78000000003</v>
      </c>
      <c r="J31" s="82">
        <f t="shared" si="0"/>
        <v>-144327.78000000003</v>
      </c>
      <c r="K31" s="158">
        <f t="shared" si="1"/>
        <v>-1.2860000000000003</v>
      </c>
      <c r="L31" s="200">
        <f t="shared" si="2"/>
        <v>50</v>
      </c>
    </row>
    <row r="33" spans="1:10" x14ac:dyDescent="0.3">
      <c r="A33" s="2" t="str">
        <f>IF(B9="estimate","Estimate LOW","")</f>
        <v/>
      </c>
      <c r="B33" s="129" t="str">
        <f>IF(B9="estimate",SUM(Inception!H55+Elaboration!H55+Construction!H55+Transition!H55+SE!H55+'SPRINT ZERO'!H55+'SPRINT 1-N'!H55+'SPRINT Z'!H55),"")</f>
        <v/>
      </c>
      <c r="G33" s="128" t="str">
        <f>IF(B9="estimate",SUM((Inception!O55+Elaboration!O55+Construction!O55+Transition!O55+SE!O55+'SPRINT ZERO'!O55+'SPRINT 1-N'!O55+'SPRINT Z'!O55)),"")</f>
        <v/>
      </c>
      <c r="J33" s="197"/>
    </row>
    <row r="34" spans="1:10" x14ac:dyDescent="0.3">
      <c r="A34" s="2" t="str">
        <f>IF(B9="estimate","Estimate HIGH","")</f>
        <v/>
      </c>
      <c r="B34" s="129" t="str">
        <f>IF(B9="estimate",SUM(Inception!H56+Elaboration!H56+Construction!H56+Transition!H56+SE!H56+'SPRINT ZERO'!H56+'SPRINT 1-N'!H56+'SPRINT Z'!H56),"")</f>
        <v/>
      </c>
      <c r="G34" s="128" t="str">
        <f>IF(B9="estimate",SUM((Inception!O56+Elaboration!O56+Construction!O56+Transition!O56+SE!O56+'SPRINT ZERO'!O56+'SPRINT 1-N'!O56+'SPRINT Z'!O56)),"")</f>
        <v/>
      </c>
    </row>
    <row r="37" spans="1:10" x14ac:dyDescent="0.3">
      <c r="A37" s="2" t="s">
        <v>94</v>
      </c>
    </row>
    <row r="38" spans="1:10" x14ac:dyDescent="0.3">
      <c r="A38" s="2" t="s">
        <v>178</v>
      </c>
    </row>
    <row r="39" spans="1:10" x14ac:dyDescent="0.3">
      <c r="A39" s="2" t="s">
        <v>165</v>
      </c>
    </row>
    <row r="40" spans="1:10" x14ac:dyDescent="0.3">
      <c r="A40" s="2" t="s">
        <v>166</v>
      </c>
    </row>
    <row r="41" spans="1:10" x14ac:dyDescent="0.3">
      <c r="A41" s="2" t="s">
        <v>171</v>
      </c>
    </row>
    <row r="45" spans="1:10" x14ac:dyDescent="0.3">
      <c r="A45" s="236" t="s">
        <v>253</v>
      </c>
    </row>
    <row r="46" spans="1:10" x14ac:dyDescent="0.3">
      <c r="A46" s="260" t="s">
        <v>226</v>
      </c>
    </row>
  </sheetData>
  <sheetProtection sheet="1" objects="1" scenarios="1"/>
  <phoneticPr fontId="7" type="noConversion"/>
  <dataValidations count="8">
    <dataValidation type="list" showInputMessage="1" showErrorMessage="1" sqref="B9">
      <formula1>"Quote, Estimate, SELECT ONE"</formula1>
    </dataValidation>
    <dataValidation type="list" showInputMessage="1" showErrorMessage="1" sqref="B5">
      <formula1>"T&amp;M, Fixed Price, SELECT ONE"</formula1>
    </dataValidation>
    <dataValidation type="list" allowBlank="1" showInputMessage="1" showErrorMessage="1" sqref="B6">
      <formula1>"Select One,NA,UK-GBP,UK-EURO,UK-USD,RUSSIA,SPAIN,ITALY,FRANCE,DACH,SWITZERLAND-EURO,SWITZERLAND-CHF,BENELUX,TURKEY-USD,TURKEY-TKL,AUS,HONG KONG,JAPAN,CANADA"</formula1>
    </dataValidation>
    <dataValidation type="list" showInputMessage="1" showErrorMessage="1" sqref="B10">
      <formula1>"Y,N,SELECT ONE"</formula1>
    </dataValidation>
    <dataValidation type="list" showInputMessage="1" showErrorMessage="1" sqref="B11">
      <formula1>"SELECT ONE, CUSTOMER, PEGA, PARTNER, PLPP"</formula1>
    </dataValidation>
    <dataValidation showInputMessage="1" showErrorMessage="1" sqref="B14"/>
    <dataValidation type="list" showInputMessage="1" showErrorMessage="1" sqref="B13">
      <formula1>"SELECT ONE,AGILE, SCRUM, WATERFALL, OTHER, Not Applicable"</formula1>
    </dataValidation>
    <dataValidation type="list" showInputMessage="1" showErrorMessage="1" sqref="B12">
      <formula1>"SELECT ONE,FULL IMPLEMENTATION, STAFF AUG, SERVICES PRODUCT"</formula1>
    </dataValidation>
  </dataValidations>
  <pageMargins left="0.75" right="0.75" top="1" bottom="1" header="0.5" footer="0.5"/>
  <pageSetup scale="87" orientation="landscape" r:id="rId1"/>
  <headerFooter alignWithMargins="0">
    <oddHeader>&amp;CBlue Sheet Summary</oddHead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rgb="FFFFC000"/>
    <pageSetUpPr fitToPage="1"/>
  </sheetPr>
  <dimension ref="A1:EQ58"/>
  <sheetViews>
    <sheetView workbookViewId="0">
      <pane xSplit="2" ySplit="14" topLeftCell="D15" activePane="bottomRight" state="frozen"/>
      <selection activeCell="A5" sqref="A5:B10"/>
      <selection pane="topRight" activeCell="A5" sqref="A5:B10"/>
      <selection pane="bottomLeft" activeCell="A5" sqref="A5:B10"/>
      <selection pane="bottomRight" activeCell="J4" sqref="J4"/>
    </sheetView>
  </sheetViews>
  <sheetFormatPr defaultColWidth="9.33203125" defaultRowHeight="13.8" outlineLevelRow="1" x14ac:dyDescent="0.3"/>
  <cols>
    <col min="1" max="1" width="30.33203125" style="274" customWidth="1"/>
    <col min="2" max="2" width="15.109375" style="274" bestFit="1" customWidth="1"/>
    <col min="3" max="3" width="15.109375" style="274" hidden="1" customWidth="1"/>
    <col min="4" max="4" width="10.44140625" style="274" customWidth="1"/>
    <col min="5" max="5" width="10.77734375" style="274" customWidth="1"/>
    <col min="6" max="6" width="13" style="274" bestFit="1" customWidth="1"/>
    <col min="7" max="7" width="11" style="274" bestFit="1" customWidth="1"/>
    <col min="8" max="8" width="11" style="275" customWidth="1"/>
    <col min="9" max="9" width="12.77734375" style="274" customWidth="1"/>
    <col min="10" max="10" width="15" style="274" bestFit="1" customWidth="1"/>
    <col min="11" max="11" width="12.33203125" style="293" customWidth="1"/>
    <col min="12" max="12" width="11.44140625" style="293" customWidth="1"/>
    <col min="13" max="13" width="11.44140625" style="274" customWidth="1"/>
    <col min="14" max="14" width="10.77734375" style="279" customWidth="1"/>
    <col min="15" max="15" width="14.109375" style="293" customWidth="1"/>
    <col min="16" max="16" width="11.44140625" style="274" customWidth="1"/>
    <col min="17" max="17" width="10" style="274" customWidth="1"/>
    <col min="18" max="18" width="11.109375" style="274" customWidth="1"/>
    <col min="19" max="19" width="9.33203125" style="274"/>
    <col min="20" max="20" width="9.33203125" style="294" hidden="1" customWidth="1"/>
    <col min="21" max="21" width="9.33203125" style="294"/>
    <col min="22" max="22" width="27.6640625" style="294" bestFit="1" customWidth="1"/>
    <col min="23" max="23" width="12.109375" style="294" customWidth="1"/>
    <col min="24" max="24" width="28.109375" style="294" hidden="1" customWidth="1"/>
    <col min="25" max="147" width="9.33203125" style="294"/>
    <col min="148" max="16384" width="9.33203125" style="274"/>
  </cols>
  <sheetData>
    <row r="1" spans="1:147" x14ac:dyDescent="0.3">
      <c r="A1" s="274" t="s">
        <v>0</v>
      </c>
      <c r="B1" s="99" t="str">
        <f>INVESTMENT!B1</f>
        <v>&lt;Enter Account Name&gt;</v>
      </c>
    </row>
    <row r="2" spans="1:147" x14ac:dyDescent="0.3">
      <c r="A2" s="274" t="s">
        <v>246</v>
      </c>
      <c r="B2" s="99" t="str">
        <f>INVESTMENT!B2</f>
        <v>&lt;Enter Organization Name&gt;</v>
      </c>
    </row>
    <row r="3" spans="1:147" x14ac:dyDescent="0.3">
      <c r="A3" s="274" t="s">
        <v>164</v>
      </c>
      <c r="B3" s="99" t="str">
        <f>INVESTMENT!B3</f>
        <v>NEW ECR</v>
      </c>
      <c r="V3" s="295"/>
      <c r="X3" s="294" t="s">
        <v>99</v>
      </c>
    </row>
    <row r="4" spans="1:147" x14ac:dyDescent="0.3">
      <c r="A4" s="274" t="s">
        <v>2</v>
      </c>
      <c r="B4" s="274" t="s">
        <v>240</v>
      </c>
      <c r="V4" s="295"/>
      <c r="X4" s="294" t="s">
        <v>100</v>
      </c>
    </row>
    <row r="5" spans="1:147" x14ac:dyDescent="0.3">
      <c r="A5" s="274" t="s">
        <v>3</v>
      </c>
      <c r="B5" s="99" t="s">
        <v>241</v>
      </c>
      <c r="C5" s="99"/>
      <c r="V5" s="295"/>
      <c r="X5" s="294" t="s">
        <v>169</v>
      </c>
    </row>
    <row r="6" spans="1:147" x14ac:dyDescent="0.3">
      <c r="A6" s="274" t="s">
        <v>150</v>
      </c>
      <c r="B6" s="99" t="str">
        <f>INVESTMENT!B6</f>
        <v>NA</v>
      </c>
      <c r="C6" s="99"/>
      <c r="G6" s="296" t="str">
        <f>IF(AND(O52&gt;0,O54=0),"Enter Total Price in N43"," ")</f>
        <v xml:space="preserve"> </v>
      </c>
      <c r="V6" s="295"/>
      <c r="X6" s="294" t="s">
        <v>101</v>
      </c>
    </row>
    <row r="7" spans="1:147" x14ac:dyDescent="0.3">
      <c r="A7" s="274" t="s">
        <v>4</v>
      </c>
      <c r="B7" s="276" t="str">
        <f>IF(INVESTMENT!B7="","",INVESTMENT!B7)</f>
        <v/>
      </c>
      <c r="C7" s="276"/>
      <c r="D7" s="297" t="str">
        <f>IF(B7&gt;MIN(D15:D35),"Staffing Starts before this date!",IF(B7&lt;MIN(D15:D35),"No staffing on start date!",""))</f>
        <v>Staffing Starts before this date!</v>
      </c>
      <c r="E7" s="298"/>
      <c r="F7" s="298"/>
      <c r="G7" s="298"/>
      <c r="H7" s="299"/>
      <c r="I7" s="298"/>
      <c r="J7" s="298"/>
      <c r="K7" s="300"/>
      <c r="L7" s="300"/>
      <c r="M7" s="298"/>
      <c r="N7" s="301"/>
      <c r="O7" s="300"/>
      <c r="V7" s="295"/>
      <c r="X7" s="294" t="s">
        <v>102</v>
      </c>
    </row>
    <row r="8" spans="1:147" x14ac:dyDescent="0.3">
      <c r="A8" s="274" t="s">
        <v>5</v>
      </c>
      <c r="B8" s="276">
        <f>INVESTMENT!B8</f>
        <v>0</v>
      </c>
      <c r="C8" s="276"/>
      <c r="D8" s="297" t="str">
        <f>IF(B8&gt;MAX(E15:E35),"Staffing ends before project end date!",IF(B8&lt;MAX(E15:E35),"Staffing continues after end date!",""))</f>
        <v/>
      </c>
      <c r="E8" s="298"/>
      <c r="F8" s="298"/>
      <c r="G8" s="298"/>
      <c r="H8" s="299"/>
      <c r="I8" s="298"/>
      <c r="J8" s="298"/>
      <c r="K8" s="300"/>
      <c r="L8" s="300"/>
      <c r="M8" s="298"/>
      <c r="N8" s="301"/>
      <c r="O8" s="300"/>
      <c r="V8" s="295"/>
      <c r="X8" s="294" t="s">
        <v>103</v>
      </c>
    </row>
    <row r="9" spans="1:147" x14ac:dyDescent="0.3">
      <c r="A9" s="274" t="s">
        <v>6</v>
      </c>
      <c r="B9" s="99" t="str">
        <f>INVESTMENT!B9</f>
        <v>Quote</v>
      </c>
      <c r="C9" s="99"/>
      <c r="E9" s="274" t="s">
        <v>160</v>
      </c>
      <c r="F9" s="302">
        <f>INVESTMENT!F9</f>
        <v>0.05</v>
      </c>
      <c r="V9" s="295"/>
      <c r="X9" s="294" t="s">
        <v>151</v>
      </c>
    </row>
    <row r="10" spans="1:147" x14ac:dyDescent="0.3">
      <c r="A10" s="274" t="s">
        <v>84</v>
      </c>
      <c r="B10" s="277">
        <f>INVESTMENT!B10</f>
        <v>8</v>
      </c>
      <c r="C10" s="277"/>
      <c r="E10" s="274" t="s">
        <v>159</v>
      </c>
      <c r="F10" s="302">
        <f>INVESTMENT!F10</f>
        <v>0.2</v>
      </c>
      <c r="V10" s="295"/>
      <c r="X10" s="294" t="s">
        <v>170</v>
      </c>
    </row>
    <row r="11" spans="1:147" x14ac:dyDescent="0.3">
      <c r="A11" s="274" t="s">
        <v>72</v>
      </c>
      <c r="B11" s="154" t="str">
        <f>INVESTMENT!B11</f>
        <v>USD</v>
      </c>
      <c r="X11" s="294" t="s">
        <v>104</v>
      </c>
    </row>
    <row r="12" spans="1:147" x14ac:dyDescent="0.3">
      <c r="X12" s="294" t="s">
        <v>105</v>
      </c>
    </row>
    <row r="13" spans="1:147" x14ac:dyDescent="0.3">
      <c r="A13" s="99"/>
      <c r="B13" s="99"/>
      <c r="C13" s="99"/>
      <c r="D13" s="303"/>
      <c r="E13" s="303"/>
      <c r="F13" s="303"/>
      <c r="G13" s="154"/>
      <c r="H13" s="304"/>
      <c r="I13" s="154"/>
      <c r="J13" s="154"/>
      <c r="K13" s="305"/>
      <c r="L13" s="305"/>
      <c r="M13" s="154"/>
      <c r="N13" s="306" t="s">
        <v>85</v>
      </c>
      <c r="O13" s="305"/>
      <c r="P13" s="154"/>
      <c r="Q13" s="154"/>
      <c r="R13" s="154"/>
      <c r="X13" s="294" t="s">
        <v>106</v>
      </c>
    </row>
    <row r="14" spans="1:147" s="99" customFormat="1" ht="14.4" thickBot="1" x14ac:dyDescent="0.35">
      <c r="A14" s="307" t="s">
        <v>54</v>
      </c>
      <c r="B14" s="307" t="s">
        <v>55</v>
      </c>
      <c r="C14" s="307" t="s">
        <v>96</v>
      </c>
      <c r="D14" s="308" t="s">
        <v>56</v>
      </c>
      <c r="E14" s="308" t="s">
        <v>57</v>
      </c>
      <c r="F14" s="308" t="s">
        <v>7</v>
      </c>
      <c r="G14" s="308" t="s">
        <v>20</v>
      </c>
      <c r="H14" s="309" t="s">
        <v>83</v>
      </c>
      <c r="I14" s="310" t="s">
        <v>10</v>
      </c>
      <c r="J14" s="308" t="s">
        <v>58</v>
      </c>
      <c r="K14" s="278" t="s">
        <v>59</v>
      </c>
      <c r="L14" s="311" t="s">
        <v>31</v>
      </c>
      <c r="M14" s="308" t="s">
        <v>21</v>
      </c>
      <c r="N14" s="310" t="s">
        <v>22</v>
      </c>
      <c r="O14" s="311" t="s">
        <v>60</v>
      </c>
      <c r="P14" s="308" t="s">
        <v>32</v>
      </c>
      <c r="Q14" s="308" t="s">
        <v>23</v>
      </c>
      <c r="R14" s="308" t="s">
        <v>24</v>
      </c>
      <c r="T14" s="307"/>
      <c r="U14" s="307"/>
      <c r="V14" s="307"/>
      <c r="W14" s="307"/>
      <c r="X14" s="294" t="s">
        <v>143</v>
      </c>
      <c r="Y14" s="307"/>
      <c r="Z14" s="307"/>
      <c r="AA14" s="307"/>
      <c r="AB14" s="307"/>
      <c r="AC14" s="307"/>
      <c r="AD14" s="307"/>
      <c r="AE14" s="307"/>
      <c r="AF14" s="307"/>
      <c r="AG14" s="307"/>
      <c r="AH14" s="307"/>
      <c r="AI14" s="307"/>
      <c r="AJ14" s="307"/>
      <c r="AK14" s="307"/>
      <c r="AL14" s="307"/>
      <c r="AM14" s="307"/>
      <c r="AN14" s="307"/>
      <c r="AO14" s="307"/>
      <c r="AP14" s="307"/>
      <c r="AQ14" s="307"/>
      <c r="AR14" s="307"/>
      <c r="AS14" s="307"/>
      <c r="AT14" s="307"/>
      <c r="AU14" s="307"/>
      <c r="AV14" s="307"/>
      <c r="AW14" s="307"/>
      <c r="AX14" s="307"/>
      <c r="AY14" s="307"/>
      <c r="AZ14" s="307"/>
      <c r="BA14" s="307"/>
      <c r="BB14" s="307"/>
      <c r="BC14" s="307"/>
      <c r="BD14" s="307"/>
      <c r="BE14" s="307"/>
      <c r="BF14" s="307"/>
      <c r="BG14" s="307"/>
      <c r="BH14" s="307"/>
      <c r="BI14" s="307"/>
      <c r="BJ14" s="307"/>
      <c r="BK14" s="307"/>
      <c r="BL14" s="307"/>
      <c r="BM14" s="307"/>
      <c r="BN14" s="307"/>
      <c r="BO14" s="307"/>
      <c r="BP14" s="307"/>
      <c r="BQ14" s="307"/>
      <c r="BR14" s="307"/>
      <c r="BS14" s="307"/>
      <c r="BT14" s="307"/>
      <c r="BU14" s="307"/>
      <c r="BV14" s="307"/>
      <c r="BW14" s="307"/>
      <c r="BX14" s="307"/>
      <c r="BY14" s="307"/>
      <c r="BZ14" s="307"/>
      <c r="CA14" s="307"/>
      <c r="CB14" s="307"/>
      <c r="CC14" s="307"/>
      <c r="CD14" s="307"/>
      <c r="CE14" s="307"/>
      <c r="CF14" s="307"/>
      <c r="CG14" s="307"/>
      <c r="CH14" s="307"/>
      <c r="CI14" s="307"/>
      <c r="CJ14" s="307"/>
      <c r="CK14" s="307"/>
      <c r="CL14" s="307"/>
      <c r="CM14" s="307"/>
      <c r="CN14" s="307"/>
      <c r="CO14" s="307"/>
      <c r="CP14" s="307"/>
      <c r="CQ14" s="307"/>
      <c r="CR14" s="307"/>
      <c r="CS14" s="307"/>
      <c r="CT14" s="307"/>
      <c r="CU14" s="307"/>
      <c r="CV14" s="307"/>
      <c r="CW14" s="307"/>
      <c r="CX14" s="307"/>
      <c r="CY14" s="307"/>
      <c r="CZ14" s="307"/>
      <c r="DA14" s="307"/>
      <c r="DB14" s="307"/>
      <c r="DC14" s="307"/>
      <c r="DD14" s="307"/>
      <c r="DE14" s="307"/>
      <c r="DF14" s="307"/>
      <c r="DG14" s="307"/>
      <c r="DH14" s="307"/>
      <c r="DI14" s="307"/>
      <c r="DJ14" s="307"/>
      <c r="DK14" s="307"/>
      <c r="DL14" s="307"/>
      <c r="DM14" s="307"/>
      <c r="DN14" s="307"/>
      <c r="DO14" s="307"/>
      <c r="DP14" s="307"/>
      <c r="DQ14" s="307"/>
      <c r="DR14" s="307"/>
      <c r="DS14" s="307"/>
      <c r="DT14" s="307"/>
      <c r="DU14" s="307"/>
      <c r="DV14" s="307"/>
      <c r="DW14" s="307"/>
      <c r="DX14" s="307"/>
      <c r="DY14" s="307"/>
      <c r="DZ14" s="307"/>
      <c r="EA14" s="307"/>
      <c r="EB14" s="307"/>
      <c r="EC14" s="307"/>
      <c r="ED14" s="307"/>
      <c r="EE14" s="307"/>
      <c r="EF14" s="307"/>
      <c r="EG14" s="307"/>
      <c r="EH14" s="307"/>
      <c r="EI14" s="307"/>
      <c r="EJ14" s="307"/>
      <c r="EK14" s="307"/>
      <c r="EL14" s="307"/>
      <c r="EM14" s="307"/>
      <c r="EN14" s="307"/>
      <c r="EO14" s="307"/>
      <c r="EP14" s="307"/>
      <c r="EQ14" s="307"/>
    </row>
    <row r="15" spans="1:147" outlineLevel="1" x14ac:dyDescent="0.3">
      <c r="A15" s="312" t="str">
        <f>IF(INVESTMENT!A15="","",INVESTMENT!A15)</f>
        <v/>
      </c>
      <c r="B15" s="313" t="str">
        <f>IF(INVESTMENT!B15="","",INVESTMENT!B15)</f>
        <v/>
      </c>
      <c r="C15" s="313"/>
      <c r="D15" s="314" t="str">
        <f>IF(INVESTMENT!D15="","",INVESTMENT!D15)</f>
        <v/>
      </c>
      <c r="E15" s="314" t="str">
        <f>IF(INVESTMENT!E15="","",INVESTMENT!E15)</f>
        <v/>
      </c>
      <c r="F15" s="367">
        <f>INVESTMENT!F15*100</f>
        <v>0</v>
      </c>
      <c r="G15" s="315" t="str">
        <f>INVESTMENT!G15</f>
        <v/>
      </c>
      <c r="H15" s="316" t="str">
        <f>INVESTMENT!H15</f>
        <v/>
      </c>
      <c r="I15" s="317" t="str">
        <f>INVESTMENT!I15</f>
        <v/>
      </c>
      <c r="J15" s="318" t="str">
        <f>INVESTMENT!J15</f>
        <v/>
      </c>
      <c r="K15" s="319" t="str">
        <f>INVESTMENT!K15</f>
        <v/>
      </c>
      <c r="L15" s="319" t="str">
        <f>INVESTMENT!L15</f>
        <v/>
      </c>
      <c r="M15" s="318" t="str">
        <f>INVESTMENT!M15</f>
        <v/>
      </c>
      <c r="N15" s="317">
        <f>INVESTMENT!N15</f>
        <v>0</v>
      </c>
      <c r="O15" s="319" t="str">
        <f>INVESTMENT!O15</f>
        <v/>
      </c>
      <c r="P15" s="318" t="str">
        <f>INVESTMENT!P15</f>
        <v/>
      </c>
      <c r="Q15" s="320" t="str">
        <f>INVESTMENT!Q15</f>
        <v/>
      </c>
      <c r="R15" s="321" t="str">
        <f>INVESTMENT!R15</f>
        <v/>
      </c>
      <c r="S15" s="294"/>
      <c r="T15" s="294" t="str">
        <f t="shared" ref="T15:T24" si="0">IF(ISBLANK(A15),"",CONCATENATE(C15,"-",$B$6))</f>
        <v>-NA</v>
      </c>
      <c r="X15" s="294" t="s">
        <v>162</v>
      </c>
    </row>
    <row r="16" spans="1:147" outlineLevel="1" x14ac:dyDescent="0.3">
      <c r="A16" s="322" t="str">
        <f>IF(INVESTMENT!A16="","",INVESTMENT!A16)</f>
        <v/>
      </c>
      <c r="B16" s="294" t="str">
        <f>IF(INVESTMENT!B16="","",INVESTMENT!B16)</f>
        <v/>
      </c>
      <c r="C16" s="294"/>
      <c r="D16" s="323" t="str">
        <f>IF(INVESTMENT!D16="","",INVESTMENT!D16)</f>
        <v/>
      </c>
      <c r="E16" s="323" t="str">
        <f>IF(INVESTMENT!E16="","",INVESTMENT!E16)</f>
        <v/>
      </c>
      <c r="F16" s="368">
        <f>INVESTMENT!F16*100</f>
        <v>0</v>
      </c>
      <c r="G16" s="325" t="str">
        <f>INVESTMENT!G16</f>
        <v/>
      </c>
      <c r="H16" s="326" t="str">
        <f>INVESTMENT!H16</f>
        <v/>
      </c>
      <c r="I16" s="282" t="str">
        <f>INVESTMENT!I16</f>
        <v/>
      </c>
      <c r="J16" s="327" t="str">
        <f>INVESTMENT!J16</f>
        <v/>
      </c>
      <c r="K16" s="283" t="str">
        <f>INVESTMENT!K16</f>
        <v/>
      </c>
      <c r="L16" s="283" t="str">
        <f>INVESTMENT!L16</f>
        <v/>
      </c>
      <c r="M16" s="327" t="str">
        <f>INVESTMENT!M16</f>
        <v/>
      </c>
      <c r="N16" s="282">
        <f>INVESTMENT!N16</f>
        <v>0</v>
      </c>
      <c r="O16" s="283" t="str">
        <f>INVESTMENT!O16</f>
        <v/>
      </c>
      <c r="P16" s="327" t="str">
        <f>INVESTMENT!P16</f>
        <v/>
      </c>
      <c r="Q16" s="328" t="str">
        <f>INVESTMENT!Q16</f>
        <v/>
      </c>
      <c r="R16" s="329" t="str">
        <f>INVESTMENT!R16</f>
        <v/>
      </c>
      <c r="S16" s="294"/>
      <c r="T16" s="294" t="str">
        <f t="shared" si="0"/>
        <v>-NA</v>
      </c>
    </row>
    <row r="17" spans="1:147" outlineLevel="1" x14ac:dyDescent="0.3">
      <c r="A17" s="322" t="str">
        <f>IF(INVESTMENT!A17="","",INVESTMENT!A17)</f>
        <v/>
      </c>
      <c r="B17" s="294" t="str">
        <f>IF(INVESTMENT!B17="","",INVESTMENT!B17)</f>
        <v/>
      </c>
      <c r="C17" s="294"/>
      <c r="D17" s="323" t="str">
        <f>IF(INVESTMENT!D17="","",INVESTMENT!D17)</f>
        <v/>
      </c>
      <c r="E17" s="323" t="str">
        <f>IF(INVESTMENT!E17="","",INVESTMENT!E17)</f>
        <v/>
      </c>
      <c r="F17" s="368">
        <f>INVESTMENT!F17*100</f>
        <v>0</v>
      </c>
      <c r="G17" s="325" t="str">
        <f>INVESTMENT!G17</f>
        <v/>
      </c>
      <c r="H17" s="326" t="str">
        <f>INVESTMENT!H17</f>
        <v/>
      </c>
      <c r="I17" s="282" t="str">
        <f>INVESTMENT!I17</f>
        <v/>
      </c>
      <c r="J17" s="327" t="str">
        <f>INVESTMENT!J17</f>
        <v/>
      </c>
      <c r="K17" s="283" t="str">
        <f>INVESTMENT!K17</f>
        <v/>
      </c>
      <c r="L17" s="283" t="str">
        <f>INVESTMENT!L17</f>
        <v/>
      </c>
      <c r="M17" s="327" t="str">
        <f>INVESTMENT!M17</f>
        <v/>
      </c>
      <c r="N17" s="282">
        <f>INVESTMENT!N17</f>
        <v>0</v>
      </c>
      <c r="O17" s="283" t="str">
        <f>INVESTMENT!O17</f>
        <v/>
      </c>
      <c r="P17" s="327" t="str">
        <f>INVESTMENT!P17</f>
        <v/>
      </c>
      <c r="Q17" s="328" t="str">
        <f>INVESTMENT!Q17</f>
        <v/>
      </c>
      <c r="R17" s="329" t="str">
        <f>INVESTMENT!R17</f>
        <v/>
      </c>
      <c r="S17" s="294"/>
      <c r="T17" s="294" t="str">
        <f t="shared" si="0"/>
        <v>-NA</v>
      </c>
    </row>
    <row r="18" spans="1:147" outlineLevel="1" x14ac:dyDescent="0.3">
      <c r="A18" s="322" t="str">
        <f>IF(INVESTMENT!A18="","",INVESTMENT!A18)</f>
        <v/>
      </c>
      <c r="B18" s="294" t="str">
        <f>IF(INVESTMENT!B18="","",INVESTMENT!B18)</f>
        <v/>
      </c>
      <c r="C18" s="294"/>
      <c r="D18" s="323" t="str">
        <f>IF(INVESTMENT!D18="","",INVESTMENT!D18)</f>
        <v/>
      </c>
      <c r="E18" s="323" t="str">
        <f>IF(INVESTMENT!E18="","",INVESTMENT!E18)</f>
        <v/>
      </c>
      <c r="F18" s="368">
        <f>INVESTMENT!F18*100</f>
        <v>0</v>
      </c>
      <c r="G18" s="325" t="str">
        <f>INVESTMENT!G18</f>
        <v/>
      </c>
      <c r="H18" s="326" t="str">
        <f>INVESTMENT!H18</f>
        <v/>
      </c>
      <c r="I18" s="282" t="str">
        <f>INVESTMENT!I18</f>
        <v/>
      </c>
      <c r="J18" s="327" t="str">
        <f>INVESTMENT!J18</f>
        <v/>
      </c>
      <c r="K18" s="283" t="str">
        <f>INVESTMENT!K18</f>
        <v/>
      </c>
      <c r="L18" s="283" t="str">
        <f>INVESTMENT!L18</f>
        <v/>
      </c>
      <c r="M18" s="327" t="str">
        <f>INVESTMENT!M18</f>
        <v/>
      </c>
      <c r="N18" s="282">
        <f>INVESTMENT!N18</f>
        <v>0</v>
      </c>
      <c r="O18" s="283" t="str">
        <f>INVESTMENT!O18</f>
        <v/>
      </c>
      <c r="P18" s="327" t="str">
        <f>INVESTMENT!P18</f>
        <v/>
      </c>
      <c r="Q18" s="328" t="str">
        <f>INVESTMENT!Q18</f>
        <v/>
      </c>
      <c r="R18" s="329" t="str">
        <f>INVESTMENT!R18</f>
        <v/>
      </c>
      <c r="S18" s="294"/>
      <c r="T18" s="294" t="str">
        <f t="shared" si="0"/>
        <v>-NA</v>
      </c>
    </row>
    <row r="19" spans="1:147" outlineLevel="1" x14ac:dyDescent="0.3">
      <c r="A19" s="322" t="str">
        <f>IF(INVESTMENT!A19="","",INVESTMENT!A19)</f>
        <v/>
      </c>
      <c r="B19" s="294" t="str">
        <f>IF(INVESTMENT!B19="","",INVESTMENT!B19)</f>
        <v/>
      </c>
      <c r="C19" s="294"/>
      <c r="D19" s="323" t="str">
        <f>IF(INVESTMENT!D19="","",INVESTMENT!D19)</f>
        <v/>
      </c>
      <c r="E19" s="323" t="str">
        <f>IF(INVESTMENT!E19="","",INVESTMENT!E19)</f>
        <v/>
      </c>
      <c r="F19" s="368">
        <f>INVESTMENT!F19*100</f>
        <v>0</v>
      </c>
      <c r="G19" s="325" t="str">
        <f>INVESTMENT!G19</f>
        <v/>
      </c>
      <c r="H19" s="326" t="str">
        <f>INVESTMENT!H19</f>
        <v/>
      </c>
      <c r="I19" s="282" t="str">
        <f>INVESTMENT!I19</f>
        <v/>
      </c>
      <c r="J19" s="327" t="str">
        <f>INVESTMENT!J19</f>
        <v/>
      </c>
      <c r="K19" s="283" t="str">
        <f>INVESTMENT!K19</f>
        <v/>
      </c>
      <c r="L19" s="283" t="str">
        <f>INVESTMENT!L19</f>
        <v/>
      </c>
      <c r="M19" s="327" t="str">
        <f>INVESTMENT!M19</f>
        <v/>
      </c>
      <c r="N19" s="282">
        <f>INVESTMENT!N19</f>
        <v>0</v>
      </c>
      <c r="O19" s="283" t="str">
        <f>INVESTMENT!O19</f>
        <v/>
      </c>
      <c r="P19" s="327" t="str">
        <f>INVESTMENT!P19</f>
        <v/>
      </c>
      <c r="Q19" s="328" t="str">
        <f>INVESTMENT!Q19</f>
        <v/>
      </c>
      <c r="R19" s="329" t="str">
        <f>INVESTMENT!R19</f>
        <v/>
      </c>
      <c r="S19" s="294"/>
      <c r="T19" s="294" t="str">
        <f t="shared" si="0"/>
        <v>-NA</v>
      </c>
    </row>
    <row r="20" spans="1:147" outlineLevel="1" x14ac:dyDescent="0.3">
      <c r="A20" s="322" t="str">
        <f>IF(INVESTMENT!A20="","",INVESTMENT!A20)</f>
        <v/>
      </c>
      <c r="B20" s="294" t="str">
        <f>IF(INVESTMENT!B20="","",INVESTMENT!B20)</f>
        <v/>
      </c>
      <c r="C20" s="294"/>
      <c r="D20" s="323" t="str">
        <f>IF(INVESTMENT!D20="","",INVESTMENT!D20)</f>
        <v/>
      </c>
      <c r="E20" s="323" t="str">
        <f>IF(INVESTMENT!E20="","",INVESTMENT!E20)</f>
        <v/>
      </c>
      <c r="F20" s="368">
        <f>INVESTMENT!F20*100</f>
        <v>0</v>
      </c>
      <c r="G20" s="325" t="str">
        <f>INVESTMENT!G20</f>
        <v/>
      </c>
      <c r="H20" s="326" t="str">
        <f>INVESTMENT!H20</f>
        <v/>
      </c>
      <c r="I20" s="282" t="str">
        <f>INVESTMENT!I20</f>
        <v/>
      </c>
      <c r="J20" s="327" t="str">
        <f>INVESTMENT!J20</f>
        <v/>
      </c>
      <c r="K20" s="283" t="str">
        <f>INVESTMENT!K20</f>
        <v/>
      </c>
      <c r="L20" s="283" t="str">
        <f>INVESTMENT!L20</f>
        <v/>
      </c>
      <c r="M20" s="327" t="str">
        <f>INVESTMENT!M20</f>
        <v/>
      </c>
      <c r="N20" s="282">
        <f>INVESTMENT!N20</f>
        <v>0</v>
      </c>
      <c r="O20" s="283" t="str">
        <f>INVESTMENT!O20</f>
        <v/>
      </c>
      <c r="P20" s="327" t="str">
        <f>INVESTMENT!P20</f>
        <v/>
      </c>
      <c r="Q20" s="328" t="str">
        <f>INVESTMENT!Q20</f>
        <v/>
      </c>
      <c r="R20" s="329" t="str">
        <f>INVESTMENT!R20</f>
        <v/>
      </c>
      <c r="S20" s="294"/>
      <c r="T20" s="294" t="str">
        <f t="shared" si="0"/>
        <v>-NA</v>
      </c>
    </row>
    <row r="21" spans="1:147" outlineLevel="1" x14ac:dyDescent="0.3">
      <c r="A21" s="322" t="str">
        <f>IF(INVESTMENT!A21="","",INVESTMENT!A21)</f>
        <v/>
      </c>
      <c r="B21" s="294" t="str">
        <f>IF(INVESTMENT!B21="","",INVESTMENT!B21)</f>
        <v/>
      </c>
      <c r="C21" s="294"/>
      <c r="D21" s="323" t="str">
        <f>IF(INVESTMENT!D21="","",INVESTMENT!D21)</f>
        <v/>
      </c>
      <c r="E21" s="323" t="str">
        <f>IF(INVESTMENT!E21="","",INVESTMENT!E21)</f>
        <v/>
      </c>
      <c r="F21" s="368">
        <f>INVESTMENT!F21*100</f>
        <v>0</v>
      </c>
      <c r="G21" s="325" t="str">
        <f>INVESTMENT!G21</f>
        <v/>
      </c>
      <c r="H21" s="326" t="str">
        <f>INVESTMENT!H21</f>
        <v/>
      </c>
      <c r="I21" s="282" t="str">
        <f>INVESTMENT!I21</f>
        <v/>
      </c>
      <c r="J21" s="327" t="str">
        <f>INVESTMENT!J21</f>
        <v/>
      </c>
      <c r="K21" s="283" t="str">
        <f>INVESTMENT!K21</f>
        <v/>
      </c>
      <c r="L21" s="283" t="str">
        <f>INVESTMENT!L21</f>
        <v/>
      </c>
      <c r="M21" s="327" t="str">
        <f>INVESTMENT!M21</f>
        <v/>
      </c>
      <c r="N21" s="282">
        <f>INVESTMENT!N21</f>
        <v>0</v>
      </c>
      <c r="O21" s="283" t="str">
        <f>INVESTMENT!O21</f>
        <v/>
      </c>
      <c r="P21" s="327" t="str">
        <f>INVESTMENT!P21</f>
        <v/>
      </c>
      <c r="Q21" s="328" t="str">
        <f>INVESTMENT!Q21</f>
        <v/>
      </c>
      <c r="R21" s="329" t="str">
        <f>INVESTMENT!R21</f>
        <v/>
      </c>
      <c r="S21" s="294"/>
      <c r="T21" s="294" t="str">
        <f t="shared" si="0"/>
        <v>-NA</v>
      </c>
    </row>
    <row r="22" spans="1:147" outlineLevel="1" x14ac:dyDescent="0.3">
      <c r="A22" s="322" t="str">
        <f>IF(INVESTMENT!A22="","",INVESTMENT!A22)</f>
        <v/>
      </c>
      <c r="B22" s="294" t="str">
        <f>IF(INVESTMENT!B22="","",INVESTMENT!B22)</f>
        <v/>
      </c>
      <c r="C22" s="294"/>
      <c r="D22" s="323" t="str">
        <f>IF(INVESTMENT!D22="","",INVESTMENT!D22)</f>
        <v/>
      </c>
      <c r="E22" s="323" t="str">
        <f>IF(INVESTMENT!E22="","",INVESTMENT!E22)</f>
        <v/>
      </c>
      <c r="F22" s="368">
        <f>INVESTMENT!F22*100</f>
        <v>0</v>
      </c>
      <c r="G22" s="325" t="str">
        <f>INVESTMENT!G22</f>
        <v/>
      </c>
      <c r="H22" s="326" t="str">
        <f>INVESTMENT!H22</f>
        <v/>
      </c>
      <c r="I22" s="282" t="str">
        <f>INVESTMENT!I22</f>
        <v/>
      </c>
      <c r="J22" s="327" t="str">
        <f>INVESTMENT!J22</f>
        <v/>
      </c>
      <c r="K22" s="283" t="str">
        <f>INVESTMENT!K22</f>
        <v/>
      </c>
      <c r="L22" s="283" t="str">
        <f>INVESTMENT!L22</f>
        <v/>
      </c>
      <c r="M22" s="327" t="str">
        <f>INVESTMENT!M22</f>
        <v/>
      </c>
      <c r="N22" s="282">
        <f>INVESTMENT!N22</f>
        <v>0</v>
      </c>
      <c r="O22" s="283" t="str">
        <f>INVESTMENT!O22</f>
        <v/>
      </c>
      <c r="P22" s="327" t="str">
        <f>INVESTMENT!P22</f>
        <v/>
      </c>
      <c r="Q22" s="328" t="str">
        <f>INVESTMENT!Q22</f>
        <v/>
      </c>
      <c r="R22" s="329" t="str">
        <f>INVESTMENT!R22</f>
        <v/>
      </c>
      <c r="S22" s="294"/>
      <c r="T22" s="294" t="str">
        <f t="shared" si="0"/>
        <v>-NA</v>
      </c>
    </row>
    <row r="23" spans="1:147" outlineLevel="1" x14ac:dyDescent="0.3">
      <c r="A23" s="322" t="str">
        <f>IF(INVESTMENT!A23="","",INVESTMENT!A23)</f>
        <v/>
      </c>
      <c r="B23" s="294" t="str">
        <f>IF(INVESTMENT!B23="","",INVESTMENT!B23)</f>
        <v/>
      </c>
      <c r="C23" s="294"/>
      <c r="D23" s="323" t="str">
        <f>IF(INVESTMENT!D23="","",INVESTMENT!D23)</f>
        <v/>
      </c>
      <c r="E23" s="323" t="str">
        <f>IF(INVESTMENT!E23="","",INVESTMENT!E23)</f>
        <v/>
      </c>
      <c r="F23" s="368">
        <f>INVESTMENT!F23*100</f>
        <v>0</v>
      </c>
      <c r="G23" s="325" t="str">
        <f>INVESTMENT!G23</f>
        <v/>
      </c>
      <c r="H23" s="326" t="str">
        <f>INVESTMENT!H23</f>
        <v/>
      </c>
      <c r="I23" s="282" t="str">
        <f>INVESTMENT!I23</f>
        <v/>
      </c>
      <c r="J23" s="327" t="str">
        <f>INVESTMENT!J23</f>
        <v/>
      </c>
      <c r="K23" s="283" t="str">
        <f>INVESTMENT!K23</f>
        <v/>
      </c>
      <c r="L23" s="283" t="str">
        <f>INVESTMENT!L23</f>
        <v/>
      </c>
      <c r="M23" s="327" t="str">
        <f>INVESTMENT!M23</f>
        <v/>
      </c>
      <c r="N23" s="282">
        <f>INVESTMENT!N23</f>
        <v>0</v>
      </c>
      <c r="O23" s="283" t="str">
        <f>INVESTMENT!O23</f>
        <v/>
      </c>
      <c r="P23" s="327" t="str">
        <f>INVESTMENT!P23</f>
        <v/>
      </c>
      <c r="Q23" s="328" t="str">
        <f>INVESTMENT!Q23</f>
        <v/>
      </c>
      <c r="R23" s="329" t="str">
        <f>INVESTMENT!R23</f>
        <v/>
      </c>
      <c r="S23" s="294"/>
      <c r="T23" s="294" t="str">
        <f t="shared" si="0"/>
        <v>-NA</v>
      </c>
    </row>
    <row r="24" spans="1:147" s="339" customFormat="1" ht="14.4" outlineLevel="1" thickBot="1" x14ac:dyDescent="0.35">
      <c r="A24" s="330" t="str">
        <f>IF(INVESTMENT!A24="","",INVESTMENT!A24)</f>
        <v/>
      </c>
      <c r="B24" s="331" t="str">
        <f>IF(INVESTMENT!B24="","",INVESTMENT!B24)</f>
        <v/>
      </c>
      <c r="C24" s="331"/>
      <c r="D24" s="332" t="str">
        <f>IF(INVESTMENT!D24="","",INVESTMENT!D24)</f>
        <v/>
      </c>
      <c r="E24" s="332" t="str">
        <f>IF(INVESTMENT!E24="","",INVESTMENT!E24)</f>
        <v/>
      </c>
      <c r="F24" s="369">
        <f>INVESTMENT!F24*100</f>
        <v>0</v>
      </c>
      <c r="G24" s="334" t="str">
        <f>INVESTMENT!G24</f>
        <v/>
      </c>
      <c r="H24" s="335" t="str">
        <f>INVESTMENT!H24</f>
        <v/>
      </c>
      <c r="I24" s="284" t="str">
        <f>INVESTMENT!I24</f>
        <v/>
      </c>
      <c r="J24" s="336" t="str">
        <f>INVESTMENT!J24</f>
        <v/>
      </c>
      <c r="K24" s="285" t="str">
        <f>INVESTMENT!K24</f>
        <v/>
      </c>
      <c r="L24" s="285" t="str">
        <f>INVESTMENT!L24</f>
        <v/>
      </c>
      <c r="M24" s="336" t="str">
        <f>INVESTMENT!M24</f>
        <v/>
      </c>
      <c r="N24" s="284">
        <f>INVESTMENT!N24</f>
        <v>0</v>
      </c>
      <c r="O24" s="285" t="str">
        <f>INVESTMENT!O24</f>
        <v/>
      </c>
      <c r="P24" s="336" t="str">
        <f>INVESTMENT!P24</f>
        <v/>
      </c>
      <c r="Q24" s="337" t="str">
        <f>INVESTMENT!Q24</f>
        <v/>
      </c>
      <c r="R24" s="338" t="str">
        <f>INVESTMENT!R24</f>
        <v/>
      </c>
      <c r="S24" s="331"/>
      <c r="T24" s="294" t="str">
        <f t="shared" si="0"/>
        <v>-NA</v>
      </c>
      <c r="U24" s="294"/>
      <c r="V24" s="294"/>
      <c r="W24" s="294"/>
      <c r="X24" s="294"/>
      <c r="Y24" s="294"/>
      <c r="Z24" s="294"/>
      <c r="AA24" s="294"/>
      <c r="AB24" s="294"/>
      <c r="AC24" s="294"/>
      <c r="AD24" s="294"/>
      <c r="AE24" s="294"/>
      <c r="AF24" s="294"/>
      <c r="AG24" s="294"/>
      <c r="AH24" s="294"/>
      <c r="AI24" s="294"/>
      <c r="AJ24" s="294"/>
      <c r="AK24" s="294"/>
      <c r="AL24" s="294"/>
      <c r="AM24" s="294"/>
      <c r="AN24" s="294"/>
      <c r="AO24" s="294"/>
      <c r="AP24" s="294"/>
      <c r="AQ24" s="294"/>
      <c r="AR24" s="294"/>
      <c r="AS24" s="294"/>
      <c r="AT24" s="294"/>
      <c r="AU24" s="294"/>
      <c r="AV24" s="294"/>
      <c r="AW24" s="294"/>
      <c r="AX24" s="294"/>
      <c r="AY24" s="294"/>
      <c r="AZ24" s="294"/>
      <c r="BA24" s="294"/>
      <c r="BB24" s="294"/>
      <c r="BC24" s="294"/>
      <c r="BD24" s="294"/>
      <c r="BE24" s="294"/>
      <c r="BF24" s="294"/>
      <c r="BG24" s="294"/>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94"/>
      <c r="EC24" s="294"/>
      <c r="ED24" s="294"/>
      <c r="EE24" s="294"/>
      <c r="EF24" s="294"/>
      <c r="EG24" s="294"/>
      <c r="EH24" s="294"/>
      <c r="EI24" s="294"/>
      <c r="EJ24" s="294"/>
      <c r="EK24" s="294"/>
      <c r="EL24" s="294"/>
      <c r="EM24" s="294"/>
      <c r="EN24" s="294"/>
      <c r="EO24" s="294"/>
      <c r="EP24" s="294"/>
      <c r="EQ24" s="294"/>
    </row>
    <row r="25" spans="1:147" x14ac:dyDescent="0.3">
      <c r="A25" s="392" t="s">
        <v>11</v>
      </c>
      <c r="B25" s="392"/>
      <c r="C25" s="307"/>
      <c r="D25" s="276"/>
      <c r="E25" s="276"/>
      <c r="F25" s="302"/>
      <c r="G25" s="340">
        <f>SUM(G15:G24)</f>
        <v>0</v>
      </c>
      <c r="H25" s="340">
        <f>SUM(H15:H24)</f>
        <v>0</v>
      </c>
      <c r="I25" s="279"/>
      <c r="J25" s="341">
        <f>SUM(J15:J24)</f>
        <v>0</v>
      </c>
      <c r="K25" s="342"/>
      <c r="L25" s="342">
        <f>SUM(L15:L24)</f>
        <v>0</v>
      </c>
      <c r="M25" s="341">
        <f>SUM(M15:M24)</f>
        <v>0</v>
      </c>
      <c r="O25" s="342">
        <f>SUM(O15:O24)</f>
        <v>0</v>
      </c>
      <c r="P25" s="341">
        <f>SUM(P15:P24)</f>
        <v>0</v>
      </c>
      <c r="Q25" s="343" t="str">
        <f>IF(G25=0,"",P25/O25)</f>
        <v/>
      </c>
      <c r="R25" s="302" t="str">
        <f>IF(G25=0,"",1-O25/J25)</f>
        <v/>
      </c>
    </row>
    <row r="26" spans="1:147" x14ac:dyDescent="0.3">
      <c r="D26" s="276"/>
      <c r="E26" s="276"/>
      <c r="F26" s="302"/>
      <c r="G26" s="340"/>
      <c r="H26" s="340"/>
      <c r="I26" s="279"/>
      <c r="J26" s="341"/>
      <c r="K26" s="342"/>
      <c r="L26" s="342"/>
      <c r="M26" s="341"/>
      <c r="O26" s="342"/>
      <c r="P26" s="341"/>
      <c r="Q26" s="344"/>
      <c r="R26" s="302"/>
    </row>
    <row r="27" spans="1:147" outlineLevel="1" x14ac:dyDescent="0.3">
      <c r="B27" s="99"/>
      <c r="C27" s="99"/>
      <c r="D27" s="303"/>
      <c r="E27" s="303"/>
      <c r="F27" s="303"/>
      <c r="G27" s="154"/>
      <c r="H27" s="304"/>
      <c r="I27" s="306"/>
      <c r="J27" s="345"/>
      <c r="K27" s="346"/>
      <c r="L27" s="346"/>
      <c r="M27" s="345"/>
      <c r="N27" s="306"/>
      <c r="O27" s="346"/>
      <c r="P27" s="345"/>
      <c r="Q27" s="154"/>
      <c r="R27" s="154"/>
    </row>
    <row r="28" spans="1:147" ht="14.4" outlineLevel="1" thickBot="1" x14ac:dyDescent="0.35">
      <c r="A28" s="347" t="s">
        <v>12</v>
      </c>
      <c r="B28" s="347" t="s">
        <v>55</v>
      </c>
      <c r="C28" s="347"/>
      <c r="D28" s="348" t="s">
        <v>56</v>
      </c>
      <c r="E28" s="348" t="s">
        <v>57</v>
      </c>
      <c r="F28" s="348" t="s">
        <v>7</v>
      </c>
      <c r="G28" s="348" t="s">
        <v>20</v>
      </c>
      <c r="H28" s="349" t="s">
        <v>83</v>
      </c>
      <c r="I28" s="280" t="s">
        <v>10</v>
      </c>
      <c r="J28" s="348" t="s">
        <v>58</v>
      </c>
      <c r="K28" s="281" t="s">
        <v>59</v>
      </c>
      <c r="L28" s="281" t="s">
        <v>31</v>
      </c>
      <c r="M28" s="350" t="s">
        <v>21</v>
      </c>
      <c r="N28" s="280" t="s">
        <v>22</v>
      </c>
      <c r="O28" s="281" t="s">
        <v>60</v>
      </c>
      <c r="P28" s="348" t="s">
        <v>32</v>
      </c>
      <c r="Q28" s="348" t="s">
        <v>23</v>
      </c>
      <c r="R28" s="348" t="s">
        <v>24</v>
      </c>
    </row>
    <row r="29" spans="1:147" outlineLevel="1" x14ac:dyDescent="0.3">
      <c r="A29" s="312" t="str">
        <f>IF(INVESTMENT!A29="","",INVESTMENT!A29)</f>
        <v/>
      </c>
      <c r="B29" s="313" t="str">
        <f>IF(INVESTMENT!B29="","",INVESTMENT!B29)</f>
        <v/>
      </c>
      <c r="C29" s="313"/>
      <c r="D29" s="314" t="str">
        <f>IF(INVESTMENT!D29="","",INVESTMENT!D29)</f>
        <v/>
      </c>
      <c r="E29" s="314" t="str">
        <f>IF(INVESTMENT!E29="","",INVESTMENT!E29)</f>
        <v/>
      </c>
      <c r="F29" s="367">
        <f>INVESTMENT!F29*100</f>
        <v>0</v>
      </c>
      <c r="G29" s="315" t="str">
        <f>INVESTMENT!G29</f>
        <v/>
      </c>
      <c r="H29" s="316" t="str">
        <f>INVESTMENT!H29</f>
        <v/>
      </c>
      <c r="I29" s="317">
        <f>INVESTMENT!I29</f>
        <v>0</v>
      </c>
      <c r="J29" s="318" t="str">
        <f>INVESTMENT!J29</f>
        <v/>
      </c>
      <c r="K29" s="319">
        <f>INVESTMENT!K29</f>
        <v>0</v>
      </c>
      <c r="L29" s="319" t="str">
        <f>INVESTMENT!L29</f>
        <v xml:space="preserve"> </v>
      </c>
      <c r="M29" s="318" t="str">
        <f>INVESTMENT!M29</f>
        <v/>
      </c>
      <c r="N29" s="317">
        <f>INVESTMENT!N29</f>
        <v>0</v>
      </c>
      <c r="O29" s="319" t="str">
        <f>INVESTMENT!O29</f>
        <v/>
      </c>
      <c r="P29" s="318" t="str">
        <f>INVESTMENT!P29</f>
        <v/>
      </c>
      <c r="Q29" s="320" t="str">
        <f>INVESTMENT!Q29</f>
        <v/>
      </c>
      <c r="R29" s="321" t="str">
        <f>INVESTMENT!R29</f>
        <v/>
      </c>
      <c r="T29" s="294" t="str">
        <f t="shared" ref="T29:T35" si="1">IF(ISBLANK(A29),"",CONCATENATE(C29,"-",$B$6))</f>
        <v>-NA</v>
      </c>
      <c r="X29" s="307"/>
    </row>
    <row r="30" spans="1:147" outlineLevel="1" x14ac:dyDescent="0.3">
      <c r="A30" s="322" t="str">
        <f>IF(INVESTMENT!A30="","",INVESTMENT!A30)</f>
        <v/>
      </c>
      <c r="B30" s="294" t="str">
        <f>IF(INVESTMENT!B30="","",INVESTMENT!B30)</f>
        <v/>
      </c>
      <c r="C30" s="294"/>
      <c r="D30" s="323" t="str">
        <f>IF(INVESTMENT!D30="","",INVESTMENT!D30)</f>
        <v/>
      </c>
      <c r="E30" s="323" t="str">
        <f>IF(INVESTMENT!E30="","",INVESTMENT!E30)</f>
        <v/>
      </c>
      <c r="F30" s="368">
        <f>INVESTMENT!F30*100</f>
        <v>0</v>
      </c>
      <c r="G30" s="325" t="str">
        <f>INVESTMENT!G30</f>
        <v/>
      </c>
      <c r="H30" s="326" t="str">
        <f>INVESTMENT!H30</f>
        <v/>
      </c>
      <c r="I30" s="282">
        <f>INVESTMENT!I30</f>
        <v>0</v>
      </c>
      <c r="J30" s="327" t="str">
        <f>INVESTMENT!J30</f>
        <v/>
      </c>
      <c r="K30" s="283">
        <f>INVESTMENT!K30</f>
        <v>0</v>
      </c>
      <c r="L30" s="283" t="str">
        <f>INVESTMENT!L30</f>
        <v xml:space="preserve"> </v>
      </c>
      <c r="M30" s="327" t="str">
        <f>INVESTMENT!M30</f>
        <v/>
      </c>
      <c r="N30" s="282">
        <f>INVESTMENT!N30</f>
        <v>0</v>
      </c>
      <c r="O30" s="283" t="str">
        <f>INVESTMENT!O30</f>
        <v/>
      </c>
      <c r="P30" s="327" t="str">
        <f>INVESTMENT!P30</f>
        <v/>
      </c>
      <c r="Q30" s="328" t="str">
        <f>INVESTMENT!Q30</f>
        <v/>
      </c>
      <c r="R30" s="329" t="str">
        <f>INVESTMENT!R30</f>
        <v/>
      </c>
      <c r="T30" s="294" t="str">
        <f t="shared" si="1"/>
        <v>-NA</v>
      </c>
    </row>
    <row r="31" spans="1:147" outlineLevel="1" x14ac:dyDescent="0.3">
      <c r="A31" s="322" t="str">
        <f>IF(INVESTMENT!A31="","",INVESTMENT!A31)</f>
        <v/>
      </c>
      <c r="B31" s="294" t="str">
        <f>IF(INVESTMENT!B31="","",INVESTMENT!B31)</f>
        <v/>
      </c>
      <c r="C31" s="294"/>
      <c r="D31" s="323" t="str">
        <f>IF(INVESTMENT!D31="","",INVESTMENT!D31)</f>
        <v/>
      </c>
      <c r="E31" s="323" t="str">
        <f>IF(INVESTMENT!E31="","",INVESTMENT!E31)</f>
        <v/>
      </c>
      <c r="F31" s="368">
        <f>INVESTMENT!F31*100</f>
        <v>0</v>
      </c>
      <c r="G31" s="325" t="str">
        <f>INVESTMENT!G31</f>
        <v/>
      </c>
      <c r="H31" s="326" t="str">
        <f>INVESTMENT!H31</f>
        <v/>
      </c>
      <c r="I31" s="282">
        <f>INVESTMENT!I31</f>
        <v>0</v>
      </c>
      <c r="J31" s="327" t="str">
        <f>INVESTMENT!J31</f>
        <v/>
      </c>
      <c r="K31" s="283">
        <f>INVESTMENT!K31</f>
        <v>0</v>
      </c>
      <c r="L31" s="283" t="str">
        <f>INVESTMENT!L31</f>
        <v xml:space="preserve"> </v>
      </c>
      <c r="M31" s="327" t="str">
        <f>INVESTMENT!M31</f>
        <v/>
      </c>
      <c r="N31" s="282">
        <f>INVESTMENT!N31</f>
        <v>0</v>
      </c>
      <c r="O31" s="283" t="str">
        <f>INVESTMENT!O31</f>
        <v/>
      </c>
      <c r="P31" s="327" t="str">
        <f>INVESTMENT!P31</f>
        <v/>
      </c>
      <c r="Q31" s="328" t="str">
        <f>INVESTMENT!Q31</f>
        <v/>
      </c>
      <c r="R31" s="329" t="str">
        <f>INVESTMENT!R31</f>
        <v/>
      </c>
      <c r="T31" s="294" t="str">
        <f t="shared" si="1"/>
        <v>-NA</v>
      </c>
    </row>
    <row r="32" spans="1:147" outlineLevel="1" x14ac:dyDescent="0.3">
      <c r="A32" s="322" t="str">
        <f>IF(INVESTMENT!A32="","",INVESTMENT!A32)</f>
        <v/>
      </c>
      <c r="B32" s="294" t="str">
        <f>IF(INVESTMENT!B32="","",INVESTMENT!B32)</f>
        <v/>
      </c>
      <c r="C32" s="294"/>
      <c r="D32" s="323" t="str">
        <f>IF(INVESTMENT!D32="","",INVESTMENT!D32)</f>
        <v/>
      </c>
      <c r="E32" s="323" t="str">
        <f>IF(INVESTMENT!E32="","",INVESTMENT!E32)</f>
        <v/>
      </c>
      <c r="F32" s="368">
        <f>INVESTMENT!F32*100</f>
        <v>0</v>
      </c>
      <c r="G32" s="325" t="str">
        <f>INVESTMENT!G32</f>
        <v/>
      </c>
      <c r="H32" s="326" t="str">
        <f>INVESTMENT!H32</f>
        <v/>
      </c>
      <c r="I32" s="282">
        <f>INVESTMENT!I32</f>
        <v>0</v>
      </c>
      <c r="J32" s="327" t="str">
        <f>INVESTMENT!J32</f>
        <v/>
      </c>
      <c r="K32" s="283">
        <f>INVESTMENT!K32</f>
        <v>0</v>
      </c>
      <c r="L32" s="283" t="str">
        <f>INVESTMENT!L32</f>
        <v xml:space="preserve"> </v>
      </c>
      <c r="M32" s="327" t="str">
        <f>INVESTMENT!M32</f>
        <v/>
      </c>
      <c r="N32" s="282">
        <f>INVESTMENT!N32</f>
        <v>0</v>
      </c>
      <c r="O32" s="283" t="str">
        <f>INVESTMENT!O32</f>
        <v/>
      </c>
      <c r="P32" s="327" t="str">
        <f>INVESTMENT!P32</f>
        <v/>
      </c>
      <c r="Q32" s="328" t="str">
        <f>INVESTMENT!Q32</f>
        <v/>
      </c>
      <c r="R32" s="329" t="str">
        <f>INVESTMENT!R32</f>
        <v/>
      </c>
      <c r="T32" s="294" t="str">
        <f t="shared" si="1"/>
        <v>-NA</v>
      </c>
    </row>
    <row r="33" spans="1:147" outlineLevel="1" x14ac:dyDescent="0.3">
      <c r="A33" s="322" t="str">
        <f>IF(INVESTMENT!A33="","",INVESTMENT!A33)</f>
        <v/>
      </c>
      <c r="B33" s="294" t="str">
        <f>IF(INVESTMENT!B33="","",INVESTMENT!B33)</f>
        <v/>
      </c>
      <c r="C33" s="294"/>
      <c r="D33" s="323" t="str">
        <f>IF(INVESTMENT!D33="","",INVESTMENT!D33)</f>
        <v/>
      </c>
      <c r="E33" s="323" t="str">
        <f>IF(INVESTMENT!E33="","",INVESTMENT!E33)</f>
        <v/>
      </c>
      <c r="F33" s="368">
        <f>INVESTMENT!F33*100</f>
        <v>0</v>
      </c>
      <c r="G33" s="325" t="str">
        <f>INVESTMENT!G33</f>
        <v/>
      </c>
      <c r="H33" s="326" t="str">
        <f>INVESTMENT!H33</f>
        <v/>
      </c>
      <c r="I33" s="282">
        <f>INVESTMENT!I33</f>
        <v>0</v>
      </c>
      <c r="J33" s="327" t="str">
        <f>INVESTMENT!J33</f>
        <v/>
      </c>
      <c r="K33" s="283">
        <f>INVESTMENT!K33</f>
        <v>0</v>
      </c>
      <c r="L33" s="283" t="str">
        <f>INVESTMENT!L33</f>
        <v xml:space="preserve"> </v>
      </c>
      <c r="M33" s="327" t="str">
        <f>INVESTMENT!M33</f>
        <v/>
      </c>
      <c r="N33" s="282">
        <f>INVESTMENT!N33</f>
        <v>0</v>
      </c>
      <c r="O33" s="283" t="str">
        <f>INVESTMENT!O33</f>
        <v/>
      </c>
      <c r="P33" s="327" t="str">
        <f>INVESTMENT!P33</f>
        <v/>
      </c>
      <c r="Q33" s="328" t="str">
        <f>INVESTMENT!Q33</f>
        <v/>
      </c>
      <c r="R33" s="329" t="str">
        <f>INVESTMENT!R33</f>
        <v/>
      </c>
      <c r="T33" s="294" t="str">
        <f t="shared" si="1"/>
        <v>-NA</v>
      </c>
    </row>
    <row r="34" spans="1:147" outlineLevel="1" x14ac:dyDescent="0.3">
      <c r="A34" s="322" t="str">
        <f>IF(INVESTMENT!A34="","",INVESTMENT!A34)</f>
        <v/>
      </c>
      <c r="B34" s="294" t="str">
        <f>IF(INVESTMENT!B34="","",INVESTMENT!B34)</f>
        <v/>
      </c>
      <c r="C34" s="294"/>
      <c r="D34" s="323" t="str">
        <f>IF(INVESTMENT!D34="","",INVESTMENT!D34)</f>
        <v/>
      </c>
      <c r="E34" s="323" t="str">
        <f>IF(INVESTMENT!E34="","",INVESTMENT!E34)</f>
        <v/>
      </c>
      <c r="F34" s="368">
        <f>INVESTMENT!F34*100</f>
        <v>0</v>
      </c>
      <c r="G34" s="325" t="str">
        <f>INVESTMENT!G34</f>
        <v/>
      </c>
      <c r="H34" s="326" t="str">
        <f>INVESTMENT!H34</f>
        <v/>
      </c>
      <c r="I34" s="282">
        <f>INVESTMENT!I34</f>
        <v>0</v>
      </c>
      <c r="J34" s="327" t="str">
        <f>INVESTMENT!J34</f>
        <v/>
      </c>
      <c r="K34" s="283">
        <f>INVESTMENT!K34</f>
        <v>0</v>
      </c>
      <c r="L34" s="283" t="str">
        <f>INVESTMENT!L34</f>
        <v xml:space="preserve"> </v>
      </c>
      <c r="M34" s="327" t="str">
        <f>INVESTMENT!M34</f>
        <v/>
      </c>
      <c r="N34" s="282">
        <f>INVESTMENT!N34</f>
        <v>0</v>
      </c>
      <c r="O34" s="283" t="str">
        <f>INVESTMENT!O34</f>
        <v/>
      </c>
      <c r="P34" s="327" t="str">
        <f>INVESTMENT!P34</f>
        <v/>
      </c>
      <c r="Q34" s="328" t="str">
        <f>INVESTMENT!Q34</f>
        <v/>
      </c>
      <c r="R34" s="329" t="str">
        <f>INVESTMENT!R34</f>
        <v/>
      </c>
      <c r="T34" s="294" t="str">
        <f t="shared" si="1"/>
        <v>-NA</v>
      </c>
    </row>
    <row r="35" spans="1:147" s="339" customFormat="1" ht="14.4" outlineLevel="1" thickBot="1" x14ac:dyDescent="0.35">
      <c r="A35" s="330" t="str">
        <f>IF(INVESTMENT!A35="","",INVESTMENT!A35)</f>
        <v/>
      </c>
      <c r="B35" s="331" t="str">
        <f>IF(INVESTMENT!B35="","",INVESTMENT!B35)</f>
        <v/>
      </c>
      <c r="C35" s="331"/>
      <c r="D35" s="332" t="str">
        <f>IF(INVESTMENT!D35="","",INVESTMENT!D35)</f>
        <v/>
      </c>
      <c r="E35" s="332" t="str">
        <f>IF(INVESTMENT!E35="","",INVESTMENT!E35)</f>
        <v/>
      </c>
      <c r="F35" s="369">
        <f>INVESTMENT!F35*100</f>
        <v>0</v>
      </c>
      <c r="G35" s="334" t="str">
        <f>INVESTMENT!G35</f>
        <v/>
      </c>
      <c r="H35" s="335" t="str">
        <f>INVESTMENT!H35</f>
        <v/>
      </c>
      <c r="I35" s="284">
        <f>INVESTMENT!I35</f>
        <v>0</v>
      </c>
      <c r="J35" s="336" t="str">
        <f>INVESTMENT!J35</f>
        <v/>
      </c>
      <c r="K35" s="285">
        <f>INVESTMENT!K35</f>
        <v>0</v>
      </c>
      <c r="L35" s="285" t="str">
        <f>INVESTMENT!L35</f>
        <v xml:space="preserve"> </v>
      </c>
      <c r="M35" s="336" t="str">
        <f>INVESTMENT!M35</f>
        <v/>
      </c>
      <c r="N35" s="284">
        <f>INVESTMENT!N35</f>
        <v>0</v>
      </c>
      <c r="O35" s="285" t="str">
        <f>INVESTMENT!O35</f>
        <v/>
      </c>
      <c r="P35" s="336" t="str">
        <f>INVESTMENT!P35</f>
        <v/>
      </c>
      <c r="Q35" s="337" t="str">
        <f>INVESTMENT!Q35</f>
        <v/>
      </c>
      <c r="R35" s="338" t="str">
        <f>INVESTMENT!R35</f>
        <v/>
      </c>
      <c r="S35" s="331"/>
      <c r="T35" s="294" t="str">
        <f t="shared" si="1"/>
        <v>-NA</v>
      </c>
      <c r="U35" s="294"/>
      <c r="V35" s="294"/>
      <c r="W35" s="294"/>
      <c r="X35" s="294"/>
      <c r="Y35" s="294"/>
      <c r="Z35" s="294"/>
      <c r="AA35" s="294"/>
      <c r="AB35" s="294"/>
      <c r="AC35" s="294"/>
      <c r="AD35" s="294"/>
      <c r="AE35" s="294"/>
      <c r="AF35" s="294"/>
      <c r="AG35" s="294"/>
      <c r="AH35" s="294"/>
      <c r="AI35" s="294"/>
      <c r="AJ35" s="294"/>
      <c r="AK35" s="294"/>
      <c r="AL35" s="294"/>
      <c r="AM35" s="294"/>
      <c r="AN35" s="294"/>
      <c r="AO35" s="294"/>
      <c r="AP35" s="294"/>
      <c r="AQ35" s="294"/>
      <c r="AR35" s="294"/>
      <c r="AS35" s="294"/>
      <c r="AT35" s="294"/>
      <c r="AU35" s="294"/>
      <c r="AV35" s="294"/>
      <c r="AW35" s="294"/>
      <c r="AX35" s="294"/>
      <c r="AY35" s="294"/>
      <c r="AZ35" s="294"/>
      <c r="BA35" s="294"/>
      <c r="BB35" s="294"/>
      <c r="BC35" s="294"/>
      <c r="BD35" s="294"/>
      <c r="BE35" s="294"/>
      <c r="BF35" s="294"/>
      <c r="BG35" s="294"/>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94"/>
      <c r="EC35" s="294"/>
      <c r="ED35" s="294"/>
      <c r="EE35" s="294"/>
      <c r="EF35" s="294"/>
      <c r="EG35" s="294"/>
      <c r="EH35" s="294"/>
      <c r="EI35" s="294"/>
      <c r="EJ35" s="294"/>
      <c r="EK35" s="294"/>
      <c r="EL35" s="294"/>
      <c r="EM35" s="294"/>
      <c r="EN35" s="294"/>
      <c r="EO35" s="294"/>
      <c r="EP35" s="294"/>
      <c r="EQ35" s="294"/>
    </row>
    <row r="36" spans="1:147" x14ac:dyDescent="0.3">
      <c r="A36" s="99" t="s">
        <v>13</v>
      </c>
      <c r="G36" s="340">
        <f>SUM(G29:G35)</f>
        <v>0</v>
      </c>
      <c r="H36" s="340">
        <f>SUM(H29:H35)</f>
        <v>0</v>
      </c>
      <c r="I36" s="279"/>
      <c r="J36" s="341">
        <f>SUM(J29:J35)</f>
        <v>0</v>
      </c>
      <c r="K36" s="342"/>
      <c r="L36" s="342">
        <f>SUM(L29:L35)</f>
        <v>0</v>
      </c>
      <c r="M36" s="341">
        <f>SUM(M29:M35)</f>
        <v>0</v>
      </c>
      <c r="O36" s="342">
        <f>SUM(O29:O35)</f>
        <v>0</v>
      </c>
      <c r="P36" s="341">
        <f>SUM(P29:P35)</f>
        <v>0</v>
      </c>
      <c r="Q36" s="343">
        <f>IF(ISBLANK(A36),"",IF(O36&gt;0,P36/O36,0))</f>
        <v>0</v>
      </c>
      <c r="R36" s="302">
        <f>IF(ISBLANK(A36),"",IF(J36&gt;0,1-O36/J36,1))</f>
        <v>1</v>
      </c>
    </row>
    <row r="37" spans="1:147" x14ac:dyDescent="0.3">
      <c r="I37" s="279"/>
      <c r="J37" s="341"/>
      <c r="K37" s="342"/>
      <c r="L37" s="342"/>
      <c r="M37" s="341"/>
      <c r="O37" s="342"/>
      <c r="P37" s="341"/>
    </row>
    <row r="38" spans="1:147" x14ac:dyDescent="0.3">
      <c r="A38" s="99" t="s">
        <v>14</v>
      </c>
      <c r="G38" s="351">
        <f>INVESTMENT!G38</f>
        <v>0</v>
      </c>
      <c r="H38" s="352">
        <f>INVESTMENT!H38</f>
        <v>0</v>
      </c>
      <c r="I38" s="279"/>
      <c r="J38" s="351">
        <f>INVESTMENT!J38</f>
        <v>0</v>
      </c>
      <c r="K38" s="342"/>
      <c r="L38" s="353">
        <f>INVESTMENT!L38</f>
        <v>0</v>
      </c>
      <c r="M38" s="353">
        <f>INVESTMENT!M38</f>
        <v>0</v>
      </c>
      <c r="O38" s="353">
        <f>INVESTMENT!O38</f>
        <v>0</v>
      </c>
      <c r="P38" s="353">
        <f>INVESTMENT!P38</f>
        <v>0</v>
      </c>
      <c r="Q38" s="343" t="str">
        <f>IF(G38=0,"",P38/O38)</f>
        <v/>
      </c>
      <c r="R38" s="302" t="str">
        <f>IF(G38=0,"",1-O38/J38)</f>
        <v/>
      </c>
    </row>
    <row r="39" spans="1:147" x14ac:dyDescent="0.3">
      <c r="A39" s="99" t="s">
        <v>173</v>
      </c>
      <c r="G39" s="351">
        <f>INVESTMENT!G39</f>
        <v>0</v>
      </c>
      <c r="H39" s="352">
        <f>INVESTMENT!H39</f>
        <v>0</v>
      </c>
      <c r="I39" s="279"/>
      <c r="J39" s="351">
        <f>INVESTMENT!J39</f>
        <v>0</v>
      </c>
      <c r="K39" s="342"/>
      <c r="L39" s="351">
        <f>IF($B$5="Fixed Price",RISK!$M$7*(L25+L36)+RISK!$O$7*(L25+L36),0)</f>
        <v>0</v>
      </c>
      <c r="M39" s="351">
        <f>IF($B$5="Fixed Price",RISK!$M$7*(M25+M36)+RISK!$O$7*(M25+M36),0)</f>
        <v>0</v>
      </c>
      <c r="O39" s="351">
        <f>IF($B$5="Fixed Price",RISK!$M$7*(O25+O36)+RISK!$O$7*(O25+O36),0)</f>
        <v>0</v>
      </c>
      <c r="P39" s="351">
        <f>IF($B$5="Fixed Price",RISK!$M$7*(P25+P36)+RISK!$O$7*(P25+P36),0)</f>
        <v>0</v>
      </c>
      <c r="Q39" s="343" t="str">
        <f>IF(G39=0,"",P39/O39)</f>
        <v/>
      </c>
      <c r="R39" s="302" t="str">
        <f>IF(G39=0,"",1-O39/J39)</f>
        <v/>
      </c>
    </row>
    <row r="40" spans="1:147" x14ac:dyDescent="0.3">
      <c r="A40" s="99" t="s">
        <v>172</v>
      </c>
      <c r="G40" s="351">
        <f>INVESTMENT!G40</f>
        <v>0</v>
      </c>
      <c r="H40" s="352">
        <f>INVESTMENT!H40</f>
        <v>0</v>
      </c>
      <c r="I40" s="279"/>
      <c r="J40" s="351">
        <f>INVESTMENT!J40</f>
        <v>0</v>
      </c>
      <c r="K40" s="342"/>
      <c r="L40" s="351">
        <f>IF($B$5="T&amp;M",RISK!$O$7*(L25+L36),0)</f>
        <v>0</v>
      </c>
      <c r="M40" s="351">
        <f>IF($B$5="T&amp;M",RISK!$O$7*(M25+M36),0)</f>
        <v>0</v>
      </c>
      <c r="O40" s="351">
        <f>IF($B$5="T&amp;M",RISK!$O$7*(O25+O36),0)</f>
        <v>0</v>
      </c>
      <c r="P40" s="351">
        <f>IF($B$5="T&amp;M",RISK!$O$7*(P25+P36),0)</f>
        <v>0</v>
      </c>
      <c r="Q40" s="343" t="str">
        <f>IF(G40=0,"",P40/O40)</f>
        <v/>
      </c>
      <c r="R40" s="302" t="str">
        <f>IF(G40=0,"",1-O40/J40)</f>
        <v/>
      </c>
    </row>
    <row r="41" spans="1:147" x14ac:dyDescent="0.3">
      <c r="A41" s="99" t="s">
        <v>147</v>
      </c>
      <c r="G41" s="351">
        <f>INVESTMENT!G41</f>
        <v>0</v>
      </c>
      <c r="H41" s="352">
        <f>INVESTMENT!H41</f>
        <v>0</v>
      </c>
      <c r="I41" s="279"/>
      <c r="J41" s="351">
        <f>INVESTMENT!J41</f>
        <v>0</v>
      </c>
      <c r="K41" s="342"/>
      <c r="L41" s="351">
        <f>L25+L36+L38+L39+L40</f>
        <v>0</v>
      </c>
      <c r="M41" s="351">
        <f>M25+M36+M38+M40+M51+M39</f>
        <v>0</v>
      </c>
      <c r="O41" s="351">
        <f>O25+O36+O38+O39+O40</f>
        <v>0</v>
      </c>
      <c r="P41" s="351">
        <f>P25+P36+P38+P40+P51+P39</f>
        <v>0</v>
      </c>
      <c r="Q41" s="343">
        <f>IF(ISBLANK(A41),"",IF(O41&gt;0,P41/O41,0))</f>
        <v>0</v>
      </c>
      <c r="R41" s="302"/>
    </row>
    <row r="42" spans="1:147" x14ac:dyDescent="0.3">
      <c r="A42" s="99"/>
      <c r="G42" s="351"/>
      <c r="H42" s="352"/>
      <c r="I42" s="279"/>
      <c r="J42" s="353"/>
      <c r="K42" s="342"/>
      <c r="L42" s="353"/>
      <c r="M42" s="353"/>
      <c r="O42" s="353"/>
      <c r="P42" s="353"/>
      <c r="Q42" s="343"/>
      <c r="R42" s="302"/>
    </row>
    <row r="43" spans="1:147" hidden="1" outlineLevel="1" x14ac:dyDescent="0.3">
      <c r="A43" s="347" t="s">
        <v>145</v>
      </c>
      <c r="B43" s="347"/>
      <c r="C43" s="347"/>
      <c r="D43" s="348" t="s">
        <v>56</v>
      </c>
      <c r="E43" s="348" t="s">
        <v>57</v>
      </c>
      <c r="F43" s="348" t="s">
        <v>149</v>
      </c>
      <c r="G43" s="348" t="s">
        <v>20</v>
      </c>
      <c r="H43" s="349" t="s">
        <v>83</v>
      </c>
      <c r="I43" s="280" t="s">
        <v>10</v>
      </c>
      <c r="J43" s="348" t="s">
        <v>58</v>
      </c>
      <c r="K43" s="281"/>
      <c r="L43" s="281" t="s">
        <v>31</v>
      </c>
      <c r="M43" s="350" t="s">
        <v>21</v>
      </c>
      <c r="N43" s="280" t="s">
        <v>22</v>
      </c>
      <c r="O43" s="281" t="s">
        <v>60</v>
      </c>
      <c r="P43" s="348" t="s">
        <v>32</v>
      </c>
      <c r="Q43" s="348"/>
      <c r="R43" s="348"/>
    </row>
    <row r="44" spans="1:147" hidden="1" outlineLevel="1" x14ac:dyDescent="0.3">
      <c r="A44" s="294"/>
      <c r="B44" s="294"/>
      <c r="C44" s="294"/>
      <c r="D44" s="323"/>
      <c r="E44" s="323"/>
      <c r="F44" s="324"/>
      <c r="G44" s="325" t="str">
        <f>IF(ISBLANK(A44),"",NETWORKDAYS(D44,E44)*F44)</f>
        <v/>
      </c>
      <c r="H44" s="326" t="str">
        <f>IF(ISBLANK(A44),"",G44*$B$10)</f>
        <v/>
      </c>
      <c r="I44" s="282">
        <v>0</v>
      </c>
      <c r="J44" s="327" t="str">
        <f>IF(ISBLANK(A44),"",H44*I44)</f>
        <v/>
      </c>
      <c r="K44" s="283">
        <v>0</v>
      </c>
      <c r="L44" s="283" t="str">
        <f>IF(ISBLANK(A44)," ",(K44*G44*$B$10))</f>
        <v xml:space="preserve"> </v>
      </c>
      <c r="M44" s="327" t="str">
        <f>IF(ISBLANK(A44),"",(I44*G44*8)-L44)</f>
        <v/>
      </c>
      <c r="N44" s="282">
        <v>0</v>
      </c>
      <c r="O44" s="283" t="str">
        <f>IF(ISBLANK(A44),"",G44*N44*$B$10)</f>
        <v/>
      </c>
      <c r="P44" s="327" t="str">
        <f>IF(ISBLANK(A44),"",O44-L44)</f>
        <v/>
      </c>
      <c r="Q44" s="328"/>
      <c r="R44" s="324"/>
      <c r="S44" s="294"/>
      <c r="T44" s="294" t="str">
        <f>IF(ISBLANK(A44),"",CONCATENATE(C44,"-",$B$6))</f>
        <v/>
      </c>
      <c r="X44" s="307"/>
    </row>
    <row r="45" spans="1:147" hidden="1" outlineLevel="1" x14ac:dyDescent="0.3">
      <c r="A45" s="294"/>
      <c r="B45" s="294"/>
      <c r="C45" s="294"/>
      <c r="D45" s="323"/>
      <c r="E45" s="323"/>
      <c r="F45" s="324"/>
      <c r="G45" s="325" t="str">
        <f>IF(ISBLANK(A45),"",NETWORKDAYS(D45,E45)*F45)</f>
        <v/>
      </c>
      <c r="H45" s="326" t="str">
        <f>IF(ISBLANK(A45),"",G45*$B$10)</f>
        <v/>
      </c>
      <c r="I45" s="282">
        <v>0</v>
      </c>
      <c r="J45" s="327" t="str">
        <f>IF(ISBLANK(A45),"",H45*I45)</f>
        <v/>
      </c>
      <c r="K45" s="283">
        <v>0</v>
      </c>
      <c r="L45" s="283" t="str">
        <f>IF(ISBLANK(A45)," ",(K45*G45*$B$10))</f>
        <v xml:space="preserve"> </v>
      </c>
      <c r="M45" s="327" t="str">
        <f>IF(ISBLANK(A45),"",J45-L45)</f>
        <v/>
      </c>
      <c r="N45" s="282">
        <v>0</v>
      </c>
      <c r="O45" s="283" t="str">
        <f>IF(ISBLANK(A45),"",G45*N45*$B$10)</f>
        <v/>
      </c>
      <c r="P45" s="327" t="str">
        <f>IF(ISBLANK(A45),"",O45-L45)</f>
        <v/>
      </c>
      <c r="Q45" s="328"/>
      <c r="R45" s="324"/>
      <c r="S45" s="294"/>
      <c r="T45" s="294" t="str">
        <f>IF(ISBLANK(A45),"",CONCATENATE(C45,"-",$B$6))</f>
        <v/>
      </c>
    </row>
    <row r="46" spans="1:147" hidden="1" outlineLevel="1" x14ac:dyDescent="0.3">
      <c r="A46" s="294"/>
      <c r="B46" s="294"/>
      <c r="C46" s="294"/>
      <c r="D46" s="323"/>
      <c r="E46" s="323"/>
      <c r="F46" s="324"/>
      <c r="G46" s="325" t="str">
        <f>IF(ISBLANK(A46),"",NETWORKDAYS(D46,E46)*F46)</f>
        <v/>
      </c>
      <c r="H46" s="326" t="str">
        <f>IF(ISBLANK(A46),"",G46*$B$10)</f>
        <v/>
      </c>
      <c r="I46" s="282">
        <v>0</v>
      </c>
      <c r="J46" s="327" t="str">
        <f>IF(ISBLANK(A46),"",H46*I46)</f>
        <v/>
      </c>
      <c r="K46" s="283">
        <v>0</v>
      </c>
      <c r="L46" s="283" t="str">
        <f>IF(ISBLANK(A46)," ",(K46*G46*$B$10))</f>
        <v xml:space="preserve"> </v>
      </c>
      <c r="M46" s="327" t="str">
        <f>IF(ISBLANK(A46),"",J46-L46)</f>
        <v/>
      </c>
      <c r="N46" s="282">
        <v>0</v>
      </c>
      <c r="O46" s="283" t="str">
        <f>IF(ISBLANK(A46),"",G46*N46*$B$10)</f>
        <v/>
      </c>
      <c r="P46" s="327" t="str">
        <f>IF(ISBLANK(A46),"",O46-L46)</f>
        <v/>
      </c>
      <c r="Q46" s="328" t="str">
        <f>IF(ISBLANK(A46),"",P46/O46)</f>
        <v/>
      </c>
      <c r="R46" s="324" t="str">
        <f>IF(ISBLANK(A46),"",1-O46/J46)</f>
        <v/>
      </c>
      <c r="S46" s="294"/>
      <c r="T46" s="294" t="str">
        <f>IF(ISBLANK(A46),"",CONCATENATE(C46,"-",$B$6))</f>
        <v/>
      </c>
    </row>
    <row r="47" spans="1:147" hidden="1" outlineLevel="1" x14ac:dyDescent="0.3">
      <c r="A47" s="294"/>
      <c r="B47" s="294"/>
      <c r="C47" s="294"/>
      <c r="D47" s="323"/>
      <c r="E47" s="323"/>
      <c r="F47" s="324"/>
      <c r="G47" s="325" t="str">
        <f>IF(ISBLANK(A47),"",NETWORKDAYS(D47,E47)*F47)</f>
        <v/>
      </c>
      <c r="H47" s="326" t="str">
        <f>IF(ISBLANK(A47),"",G47*$B$10)</f>
        <v/>
      </c>
      <c r="I47" s="282">
        <v>0</v>
      </c>
      <c r="J47" s="327" t="str">
        <f>IF(ISBLANK(A47),"",H47*I47)</f>
        <v/>
      </c>
      <c r="K47" s="283">
        <v>0</v>
      </c>
      <c r="L47" s="283" t="str">
        <f>IF(ISBLANK(A47)," ",(K47*G47*$B$10))</f>
        <v xml:space="preserve"> </v>
      </c>
      <c r="M47" s="327" t="str">
        <f>IF(ISBLANK(A47),"",J47-L47)</f>
        <v/>
      </c>
      <c r="N47" s="282">
        <v>0</v>
      </c>
      <c r="O47" s="283" t="str">
        <f>IF(ISBLANK(A47),"",G47*N47*$B$10)</f>
        <v/>
      </c>
      <c r="P47" s="327" t="str">
        <f>IF(ISBLANK(A47),"",O47-L47)</f>
        <v/>
      </c>
      <c r="Q47" s="328" t="str">
        <f>IF(ISBLANK(A47),"",P47/O47)</f>
        <v/>
      </c>
      <c r="R47" s="324" t="str">
        <f>IF(ISBLANK(A47),"",1-O47/J47)</f>
        <v/>
      </c>
      <c r="S47" s="294"/>
      <c r="T47" s="294" t="str">
        <f>IF(ISBLANK(A47),"",CONCATENATE(C47,"-",$B$6))</f>
        <v/>
      </c>
    </row>
    <row r="48" spans="1:147" ht="14.4" hidden="1" outlineLevel="1" thickBot="1" x14ac:dyDescent="0.35">
      <c r="A48" s="331"/>
      <c r="B48" s="331"/>
      <c r="C48" s="331"/>
      <c r="D48" s="332"/>
      <c r="E48" s="332"/>
      <c r="F48" s="333"/>
      <c r="G48" s="334" t="str">
        <f>IF(ISBLANK(A48),"",NETWORKDAYS(D48,E48)*F48)</f>
        <v/>
      </c>
      <c r="H48" s="335" t="str">
        <f>IF(ISBLANK(A48),"",G48*$B$10)</f>
        <v/>
      </c>
      <c r="I48" s="284">
        <v>0</v>
      </c>
      <c r="J48" s="336" t="str">
        <f>IF(ISBLANK(A48),"",H48*I48)</f>
        <v/>
      </c>
      <c r="K48" s="285">
        <v>0</v>
      </c>
      <c r="L48" s="285" t="str">
        <f>IF(ISBLANK(A48)," ",(K48*G48*$B$10))</f>
        <v xml:space="preserve"> </v>
      </c>
      <c r="M48" s="336" t="str">
        <f>IF(ISBLANK(A48),"",J48-L48)</f>
        <v/>
      </c>
      <c r="N48" s="284">
        <v>0</v>
      </c>
      <c r="O48" s="285" t="str">
        <f>IF(ISBLANK(A48),"",G48*N48*$B$10)</f>
        <v/>
      </c>
      <c r="P48" s="336" t="str">
        <f>IF(ISBLANK(A48),"",O48-L48)</f>
        <v/>
      </c>
      <c r="Q48" s="337" t="str">
        <f>IF(ISBLANK(A48),"",P48/O48)</f>
        <v/>
      </c>
      <c r="R48" s="333" t="str">
        <f>IF(ISBLANK(A48),"",1-O48/J48)</f>
        <v/>
      </c>
      <c r="S48" s="331"/>
      <c r="T48" s="294" t="str">
        <f>IF(ISBLANK(A48),"",CONCATENATE(C48,"-",$B$6))</f>
        <v/>
      </c>
    </row>
    <row r="49" spans="1:147" hidden="1" x14ac:dyDescent="0.3">
      <c r="A49" s="99" t="s">
        <v>146</v>
      </c>
      <c r="G49" s="351">
        <f>SUM(G44:G48)</f>
        <v>0</v>
      </c>
      <c r="H49" s="351">
        <f>SUM(H44:H48)</f>
        <v>0</v>
      </c>
      <c r="I49" s="279"/>
      <c r="J49" s="353"/>
      <c r="K49" s="342"/>
      <c r="L49" s="353"/>
      <c r="M49" s="353"/>
      <c r="O49" s="353"/>
      <c r="P49" s="353"/>
      <c r="Q49" s="343"/>
      <c r="R49" s="302"/>
    </row>
    <row r="50" spans="1:147" hidden="1" x14ac:dyDescent="0.3">
      <c r="A50" s="99"/>
      <c r="G50" s="351"/>
      <c r="H50" s="352"/>
      <c r="I50" s="279"/>
      <c r="J50" s="354"/>
      <c r="K50" s="342"/>
      <c r="L50" s="353"/>
      <c r="M50" s="353"/>
      <c r="O50" s="354"/>
      <c r="P50" s="353"/>
      <c r="Q50" s="343" t="str">
        <f>IF(G50=0,"",P50/O50)</f>
        <v/>
      </c>
      <c r="R50" s="302" t="str">
        <f>IF(G50=0,"",1-O50/J50)</f>
        <v/>
      </c>
    </row>
    <row r="51" spans="1:147" s="339" customFormat="1" x14ac:dyDescent="0.3">
      <c r="A51" s="347" t="s">
        <v>16</v>
      </c>
      <c r="H51" s="355"/>
      <c r="I51" s="356"/>
      <c r="J51" s="357"/>
      <c r="K51" s="358"/>
      <c r="L51" s="358">
        <f>INVESTMENT!L51</f>
        <v>0</v>
      </c>
      <c r="M51" s="357"/>
      <c r="N51" s="356"/>
      <c r="O51" s="358">
        <f>IF($B$5="Fixed Price",L51,0)</f>
        <v>0</v>
      </c>
      <c r="P51" s="357"/>
      <c r="Q51" s="359"/>
      <c r="T51" s="294"/>
      <c r="U51" s="294"/>
      <c r="V51" s="294"/>
      <c r="W51" s="294"/>
      <c r="X51" s="294"/>
      <c r="Y51" s="294"/>
      <c r="Z51" s="294"/>
      <c r="AA51" s="294"/>
      <c r="AB51" s="294"/>
      <c r="AC51" s="294"/>
      <c r="AD51" s="294"/>
      <c r="AE51" s="294"/>
      <c r="AF51" s="294"/>
      <c r="AG51" s="294"/>
      <c r="AH51" s="294"/>
      <c r="AI51" s="294"/>
      <c r="AJ51" s="294"/>
      <c r="AK51" s="294"/>
      <c r="AL51" s="294"/>
      <c r="AM51" s="294"/>
      <c r="AN51" s="294"/>
      <c r="AO51" s="294"/>
      <c r="AP51" s="294"/>
      <c r="AQ51" s="294"/>
      <c r="AR51" s="294"/>
      <c r="AS51" s="294"/>
      <c r="AT51" s="294"/>
      <c r="AU51" s="294"/>
      <c r="AV51" s="294"/>
      <c r="AW51" s="294"/>
      <c r="AX51" s="294"/>
      <c r="AY51" s="294"/>
      <c r="AZ51" s="294"/>
      <c r="BA51" s="294"/>
      <c r="BB51" s="294"/>
      <c r="BC51" s="294"/>
      <c r="BD51" s="294"/>
      <c r="BE51" s="294"/>
      <c r="BF51" s="294"/>
      <c r="BG51" s="294"/>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94"/>
      <c r="EC51" s="294"/>
      <c r="ED51" s="294"/>
      <c r="EE51" s="294"/>
      <c r="EF51" s="294"/>
      <c r="EG51" s="294"/>
      <c r="EH51" s="294"/>
      <c r="EI51" s="294"/>
      <c r="EJ51" s="294"/>
      <c r="EK51" s="294"/>
      <c r="EL51" s="294"/>
      <c r="EM51" s="294"/>
      <c r="EN51" s="294"/>
      <c r="EO51" s="294"/>
      <c r="EP51" s="294"/>
      <c r="EQ51" s="294"/>
    </row>
    <row r="52" spans="1:147" ht="15.6" x14ac:dyDescent="0.3">
      <c r="A52" s="360" t="s">
        <v>17</v>
      </c>
      <c r="G52" s="340">
        <f>G41+G49</f>
        <v>0</v>
      </c>
      <c r="H52" s="340">
        <f>H41+H49</f>
        <v>0</v>
      </c>
      <c r="I52" s="279"/>
      <c r="J52" s="341">
        <f>J41</f>
        <v>0</v>
      </c>
      <c r="K52" s="342"/>
      <c r="L52" s="342">
        <f>L41+L51</f>
        <v>0</v>
      </c>
      <c r="M52" s="341">
        <f>M41</f>
        <v>0</v>
      </c>
      <c r="O52" s="342">
        <f>O41+O51</f>
        <v>0</v>
      </c>
      <c r="P52" s="341">
        <f>INVESTMENT!P52</f>
        <v>0</v>
      </c>
      <c r="Q52" s="343">
        <f>INVESTMENT!Q52</f>
        <v>0</v>
      </c>
      <c r="R52" s="302">
        <f>INVESTMENT!R52</f>
        <v>1</v>
      </c>
    </row>
    <row r="53" spans="1:147" ht="4.5" customHeight="1" thickBot="1" x14ac:dyDescent="0.35">
      <c r="I53" s="279"/>
      <c r="J53" s="341"/>
      <c r="K53" s="342"/>
      <c r="L53" s="342"/>
      <c r="M53" s="341"/>
      <c r="O53" s="342"/>
      <c r="P53" s="341"/>
    </row>
    <row r="54" spans="1:147" ht="15.75" customHeight="1" thickBot="1" x14ac:dyDescent="0.35">
      <c r="A54" s="286" t="s">
        <v>62</v>
      </c>
      <c r="B54" s="287"/>
      <c r="C54" s="287"/>
      <c r="D54" s="287"/>
      <c r="E54" s="287"/>
      <c r="F54" s="287"/>
      <c r="G54" s="288"/>
      <c r="H54" s="289"/>
      <c r="I54" s="290"/>
      <c r="J54" s="291"/>
      <c r="K54" s="292"/>
      <c r="L54" s="292"/>
      <c r="M54" s="291"/>
      <c r="N54" s="290"/>
      <c r="O54" s="292">
        <f>INVESTMENT!O54</f>
        <v>0</v>
      </c>
      <c r="P54" s="291">
        <f>INVESTMENT!P54</f>
        <v>0</v>
      </c>
      <c r="Q54" s="361">
        <f>INVESTMENT!Q54</f>
        <v>0</v>
      </c>
      <c r="R54" s="362">
        <f>INVESTMENT!R54</f>
        <v>1</v>
      </c>
    </row>
    <row r="55" spans="1:147" ht="6" customHeight="1" x14ac:dyDescent="0.3">
      <c r="I55" s="279"/>
      <c r="J55" s="341"/>
      <c r="K55" s="342"/>
      <c r="L55" s="342"/>
      <c r="M55" s="341"/>
      <c r="O55" s="342"/>
      <c r="P55" s="341"/>
    </row>
    <row r="56" spans="1:147" outlineLevel="1" x14ac:dyDescent="0.3">
      <c r="A56" s="274" t="str">
        <f>IF($B$9="Estimate","Low Estimate","")</f>
        <v/>
      </c>
      <c r="G56" s="340">
        <f>INVESTMENT!G56</f>
        <v>0</v>
      </c>
      <c r="H56" s="340">
        <f>INVESTMENT!H56</f>
        <v>0</v>
      </c>
      <c r="I56" s="279"/>
      <c r="J56" s="341">
        <f>INVESTMENT!J56</f>
        <v>0</v>
      </c>
      <c r="K56" s="342"/>
      <c r="L56" s="341">
        <f>INVESTMENT!L56</f>
        <v>0</v>
      </c>
      <c r="M56" s="341">
        <f>INVESTMENT!M56</f>
        <v>0</v>
      </c>
      <c r="N56" s="301"/>
      <c r="O56" s="342">
        <f>INVESTMENT!O56</f>
        <v>0</v>
      </c>
      <c r="P56" s="341">
        <f>INVESTMENT!P56</f>
        <v>0</v>
      </c>
      <c r="Q56" s="343">
        <f>INVESTMENT!Q56</f>
        <v>0</v>
      </c>
      <c r="R56" s="302"/>
    </row>
    <row r="57" spans="1:147" outlineLevel="1" x14ac:dyDescent="0.3">
      <c r="A57" s="274" t="str">
        <f>IF($B$9="Estimate","High Estimate","")</f>
        <v/>
      </c>
      <c r="G57" s="340">
        <f>INVESTMENT!G57</f>
        <v>0</v>
      </c>
      <c r="H57" s="340">
        <f>INVESTMENT!H57</f>
        <v>0</v>
      </c>
      <c r="I57" s="279"/>
      <c r="J57" s="341">
        <f>INVESTMENT!J57</f>
        <v>0</v>
      </c>
      <c r="K57" s="342"/>
      <c r="L57" s="341">
        <f>INVESTMENT!L57</f>
        <v>0</v>
      </c>
      <c r="M57" s="341">
        <f>INVESTMENT!M57</f>
        <v>0</v>
      </c>
      <c r="N57" s="301"/>
      <c r="O57" s="342">
        <f>INVESTMENT!O57</f>
        <v>0</v>
      </c>
      <c r="P57" s="341">
        <f>INVESTMENT!P57</f>
        <v>0</v>
      </c>
      <c r="Q57" s="343">
        <f>INVESTMENT!Q57</f>
        <v>0</v>
      </c>
      <c r="R57" s="302"/>
    </row>
    <row r="58" spans="1:147" x14ac:dyDescent="0.3">
      <c r="I58" s="279"/>
    </row>
  </sheetData>
  <sheetProtection sheet="1" objects="1" scenarios="1" sort="0" autoFilter="0" pivotTables="0"/>
  <mergeCells count="1">
    <mergeCell ref="A25:B25"/>
  </mergeCells>
  <dataValidations count="9">
    <dataValidation type="decimal" allowBlank="1" showInputMessage="1" showErrorMessage="1" sqref="F15:F24 F29:F35">
      <formula1>0</formula1>
      <formula2>9</formula2>
    </dataValidation>
    <dataValidation type="list" allowBlank="1" showInputMessage="1" showErrorMessage="1" sqref="C15:C24 C29:C35">
      <formula1>"APAC, EU, NA, SELECT ONE, ERROR"</formula1>
    </dataValidation>
    <dataValidation type="list" allowBlank="1" showInputMessage="1" showErrorMessage="1" sqref="B5">
      <formula1>"T&amp;M, Fixed Price, NSC, SELECT ONE"</formula1>
    </dataValidation>
    <dataValidation type="date" operator="greaterThanOrEqual" allowBlank="1" showInputMessage="1" showErrorMessage="1" sqref="D44:D45 D15:E15 D46:E48 D29:E29">
      <formula1>38353</formula1>
    </dataValidation>
    <dataValidation type="whole" showInputMessage="1" showErrorMessage="1" sqref="B10:C10">
      <formula1>8</formula1>
      <formula2>9</formula2>
    </dataValidation>
    <dataValidation type="date" operator="greaterThan" allowBlank="1" showInputMessage="1" showErrorMessage="1" sqref="E44:E45">
      <formula1>38353</formula1>
    </dataValidation>
    <dataValidation type="list" showInputMessage="1" showErrorMessage="1" sqref="C5">
      <formula1>"T&amp;M, Fixed Price, SELECT ONE"</formula1>
    </dataValidation>
    <dataValidation type="list" showInputMessage="1" showErrorMessage="1" sqref="C9">
      <formula1>"Quote, Estimate, SELECT ONE"</formula1>
    </dataValidation>
    <dataValidation type="decimal" allowBlank="1" showInputMessage="1" showErrorMessage="1" sqref="F44">
      <formula1>0</formula1>
      <formula2>1</formula2>
    </dataValidation>
  </dataValidations>
  <pageMargins left="0.75" right="0.75" top="1" bottom="1" header="0.5" footer="0.5"/>
  <pageSetup scale="57" fitToHeight="5" orientation="landscape" r:id="rId1"/>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55"/>
  <sheetViews>
    <sheetView workbookViewId="0">
      <selection activeCell="B34" sqref="B34"/>
    </sheetView>
  </sheetViews>
  <sheetFormatPr defaultColWidth="9.33203125" defaultRowHeight="13.2" x14ac:dyDescent="0.25"/>
  <cols>
    <col min="1" max="1" width="74.77734375" style="93" customWidth="1"/>
    <col min="2" max="2" width="17.77734375" style="93" customWidth="1"/>
    <col min="3" max="16384" width="9.33203125" style="93"/>
  </cols>
  <sheetData>
    <row r="1" spans="1:2" x14ac:dyDescent="0.25">
      <c r="A1" s="91" t="s">
        <v>25</v>
      </c>
      <c r="B1" s="92" t="s">
        <v>86</v>
      </c>
    </row>
    <row r="2" spans="1:2" x14ac:dyDescent="0.25">
      <c r="A2" s="228"/>
      <c r="B2" s="224">
        <v>0</v>
      </c>
    </row>
    <row r="3" spans="1:2" x14ac:dyDescent="0.25">
      <c r="A3" s="228"/>
      <c r="B3" s="224">
        <v>0</v>
      </c>
    </row>
    <row r="4" spans="1:2" x14ac:dyDescent="0.25">
      <c r="A4" s="228"/>
      <c r="B4" s="225">
        <v>0</v>
      </c>
    </row>
    <row r="5" spans="1:2" hidden="1" x14ac:dyDescent="0.25">
      <c r="A5" s="94"/>
      <c r="B5" s="130">
        <v>0</v>
      </c>
    </row>
    <row r="6" spans="1:2" x14ac:dyDescent="0.25">
      <c r="A6" s="95" t="s">
        <v>98</v>
      </c>
      <c r="B6" s="131">
        <f>SUM(B2:B5)</f>
        <v>0</v>
      </c>
    </row>
    <row r="8" spans="1:2" x14ac:dyDescent="0.25">
      <c r="A8" s="91" t="s">
        <v>25</v>
      </c>
      <c r="B8" s="92" t="s">
        <v>86</v>
      </c>
    </row>
    <row r="9" spans="1:2" x14ac:dyDescent="0.25">
      <c r="A9" s="228"/>
      <c r="B9" s="224">
        <v>0</v>
      </c>
    </row>
    <row r="10" spans="1:2" x14ac:dyDescent="0.25">
      <c r="A10" s="228"/>
      <c r="B10" s="224">
        <v>0</v>
      </c>
    </row>
    <row r="11" spans="1:2" x14ac:dyDescent="0.25">
      <c r="A11" s="228"/>
      <c r="B11" s="225">
        <v>0</v>
      </c>
    </row>
    <row r="12" spans="1:2" hidden="1" x14ac:dyDescent="0.25">
      <c r="A12" s="94"/>
      <c r="B12" s="130">
        <v>0</v>
      </c>
    </row>
    <row r="13" spans="1:2" x14ac:dyDescent="0.25">
      <c r="A13" s="95" t="s">
        <v>80</v>
      </c>
      <c r="B13" s="131">
        <f>SUM(B9:B12)</f>
        <v>0</v>
      </c>
    </row>
    <row r="15" spans="1:2" x14ac:dyDescent="0.25">
      <c r="A15" s="91" t="s">
        <v>25</v>
      </c>
      <c r="B15" s="92" t="s">
        <v>86</v>
      </c>
    </row>
    <row r="16" spans="1:2" x14ac:dyDescent="0.25">
      <c r="A16" s="228"/>
      <c r="B16" s="224">
        <v>0</v>
      </c>
    </row>
    <row r="17" spans="1:2" x14ac:dyDescent="0.25">
      <c r="A17" s="228"/>
      <c r="B17" s="224">
        <v>0</v>
      </c>
    </row>
    <row r="18" spans="1:2" x14ac:dyDescent="0.25">
      <c r="A18" s="228"/>
      <c r="B18" s="225">
        <v>0</v>
      </c>
    </row>
    <row r="19" spans="1:2" hidden="1" x14ac:dyDescent="0.25">
      <c r="A19" s="94"/>
      <c r="B19" s="130">
        <v>0</v>
      </c>
    </row>
    <row r="20" spans="1:2" x14ac:dyDescent="0.25">
      <c r="A20" s="95" t="s">
        <v>81</v>
      </c>
      <c r="B20" s="131">
        <f>SUM(B16:B19)</f>
        <v>0</v>
      </c>
    </row>
    <row r="22" spans="1:2" x14ac:dyDescent="0.25">
      <c r="A22" s="91" t="s">
        <v>25</v>
      </c>
      <c r="B22" s="92" t="s">
        <v>86</v>
      </c>
    </row>
    <row r="23" spans="1:2" x14ac:dyDescent="0.25">
      <c r="A23" s="228"/>
      <c r="B23" s="224">
        <v>0</v>
      </c>
    </row>
    <row r="24" spans="1:2" x14ac:dyDescent="0.25">
      <c r="A24" s="228"/>
      <c r="B24" s="224">
        <v>0</v>
      </c>
    </row>
    <row r="25" spans="1:2" x14ac:dyDescent="0.25">
      <c r="A25" s="228"/>
      <c r="B25" s="225">
        <v>0</v>
      </c>
    </row>
    <row r="26" spans="1:2" hidden="1" x14ac:dyDescent="0.25">
      <c r="A26" s="94"/>
      <c r="B26" s="130">
        <v>0</v>
      </c>
    </row>
    <row r="27" spans="1:2" x14ac:dyDescent="0.25">
      <c r="A27" s="95" t="s">
        <v>82</v>
      </c>
      <c r="B27" s="131">
        <f>SUM(B23:B26)</f>
        <v>0</v>
      </c>
    </row>
    <row r="29" spans="1:2" x14ac:dyDescent="0.25">
      <c r="A29" s="91" t="s">
        <v>25</v>
      </c>
      <c r="B29" s="132" t="s">
        <v>86</v>
      </c>
    </row>
    <row r="30" spans="1:2" x14ac:dyDescent="0.25">
      <c r="A30" s="228"/>
      <c r="B30" s="226">
        <v>0</v>
      </c>
    </row>
    <row r="31" spans="1:2" x14ac:dyDescent="0.25">
      <c r="A31" s="228"/>
      <c r="B31" s="226">
        <v>0</v>
      </c>
    </row>
    <row r="32" spans="1:2" x14ac:dyDescent="0.25">
      <c r="A32" s="228"/>
      <c r="B32" s="227">
        <v>0</v>
      </c>
    </row>
    <row r="33" spans="1:2" hidden="1" x14ac:dyDescent="0.25">
      <c r="A33" s="94"/>
      <c r="B33" s="133">
        <v>0</v>
      </c>
    </row>
    <row r="34" spans="1:2" x14ac:dyDescent="0.25">
      <c r="A34" s="95" t="s">
        <v>53</v>
      </c>
      <c r="B34" s="134">
        <f>SUM(B30:B33)</f>
        <v>0</v>
      </c>
    </row>
    <row r="36" spans="1:2" x14ac:dyDescent="0.25">
      <c r="A36" s="91" t="s">
        <v>25</v>
      </c>
      <c r="B36" s="132" t="s">
        <v>86</v>
      </c>
    </row>
    <row r="37" spans="1:2" x14ac:dyDescent="0.25">
      <c r="A37" s="228"/>
      <c r="B37" s="226">
        <v>0</v>
      </c>
    </row>
    <row r="38" spans="1:2" x14ac:dyDescent="0.25">
      <c r="A38" s="228"/>
      <c r="B38" s="226">
        <v>0</v>
      </c>
    </row>
    <row r="39" spans="1:2" x14ac:dyDescent="0.25">
      <c r="A39" s="228"/>
      <c r="B39" s="227">
        <v>0</v>
      </c>
    </row>
    <row r="40" spans="1:2" x14ac:dyDescent="0.25">
      <c r="A40" s="94"/>
      <c r="B40" s="133">
        <v>0</v>
      </c>
    </row>
    <row r="41" spans="1:2" x14ac:dyDescent="0.25">
      <c r="A41" s="95" t="s">
        <v>197</v>
      </c>
      <c r="B41" s="134">
        <f>SUM(B37:B40)</f>
        <v>0</v>
      </c>
    </row>
    <row r="43" spans="1:2" x14ac:dyDescent="0.25">
      <c r="A43" s="91" t="s">
        <v>25</v>
      </c>
      <c r="B43" s="132" t="s">
        <v>86</v>
      </c>
    </row>
    <row r="44" spans="1:2" x14ac:dyDescent="0.25">
      <c r="A44" s="228"/>
      <c r="B44" s="226">
        <v>0</v>
      </c>
    </row>
    <row r="45" spans="1:2" x14ac:dyDescent="0.25">
      <c r="A45" s="228"/>
      <c r="B45" s="226">
        <v>0</v>
      </c>
    </row>
    <row r="46" spans="1:2" x14ac:dyDescent="0.25">
      <c r="A46" s="228"/>
      <c r="B46" s="227">
        <v>0</v>
      </c>
    </row>
    <row r="47" spans="1:2" x14ac:dyDescent="0.25">
      <c r="A47" s="94"/>
      <c r="B47" s="133">
        <v>0</v>
      </c>
    </row>
    <row r="48" spans="1:2" x14ac:dyDescent="0.25">
      <c r="A48" s="95" t="s">
        <v>198</v>
      </c>
      <c r="B48" s="134">
        <f>SUM(B44:B47)</f>
        <v>0</v>
      </c>
    </row>
    <row r="50" spans="1:2" x14ac:dyDescent="0.25">
      <c r="A50" s="91" t="s">
        <v>25</v>
      </c>
      <c r="B50" s="132" t="s">
        <v>86</v>
      </c>
    </row>
    <row r="51" spans="1:2" x14ac:dyDescent="0.25">
      <c r="A51" s="228"/>
      <c r="B51" s="226">
        <v>0</v>
      </c>
    </row>
    <row r="52" spans="1:2" x14ac:dyDescent="0.25">
      <c r="A52" s="228"/>
      <c r="B52" s="226">
        <v>0</v>
      </c>
    </row>
    <row r="53" spans="1:2" x14ac:dyDescent="0.25">
      <c r="A53" s="228"/>
      <c r="B53" s="227">
        <v>0</v>
      </c>
    </row>
    <row r="54" spans="1:2" x14ac:dyDescent="0.25">
      <c r="A54" s="94"/>
      <c r="B54" s="133">
        <v>0</v>
      </c>
    </row>
    <row r="55" spans="1:2" x14ac:dyDescent="0.25">
      <c r="A55" s="95" t="s">
        <v>199</v>
      </c>
      <c r="B55" s="134">
        <f>SUM(B51:B54)</f>
        <v>0</v>
      </c>
    </row>
  </sheetData>
  <sheetProtection sheet="1" objects="1" scenarios="1"/>
  <phoneticPr fontId="7" type="noConversion"/>
  <pageMargins left="0.75" right="0.75" top="1" bottom="1" header="0.5" footer="0.5"/>
  <pageSetup orientation="landscape" r:id="rId1"/>
  <headerFooter alignWithMargins="0">
    <oddHeader>&amp;C&amp;A</oddHead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92D050"/>
    <pageSetUpPr fitToPage="1"/>
  </sheetPr>
  <dimension ref="A1:EQ57"/>
  <sheetViews>
    <sheetView workbookViewId="0">
      <pane xSplit="2" ySplit="13" topLeftCell="D14" activePane="bottomRight" state="frozen"/>
      <selection activeCell="A5" sqref="A5:B10"/>
      <selection pane="topRight" activeCell="A5" sqref="A5:B10"/>
      <selection pane="bottomLeft" activeCell="A5" sqref="A5:B10"/>
      <selection pane="bottomRight" activeCell="B6" sqref="B6"/>
    </sheetView>
  </sheetViews>
  <sheetFormatPr defaultColWidth="9.33203125" defaultRowHeight="13.8" outlineLevelRow="1" x14ac:dyDescent="0.3"/>
  <cols>
    <col min="1" max="1" width="30.33203125" style="2" customWidth="1"/>
    <col min="2" max="2" width="15.109375" style="2" bestFit="1" customWidth="1"/>
    <col min="3" max="3" width="15.109375" style="2" hidden="1" customWidth="1"/>
    <col min="4" max="4" width="10.44140625" style="2" customWidth="1"/>
    <col min="5" max="5" width="10.77734375" style="2" customWidth="1"/>
    <col min="6" max="6" width="13" style="2" bestFit="1" customWidth="1"/>
    <col min="7" max="7" width="11" style="2" bestFit="1" customWidth="1"/>
    <col min="8" max="8" width="11" style="116" customWidth="1"/>
    <col min="9" max="9" width="12.77734375" style="2" customWidth="1"/>
    <col min="10" max="10" width="15" style="2" bestFit="1" customWidth="1"/>
    <col min="11" max="11" width="12.33203125" style="203" customWidth="1"/>
    <col min="12" max="12" width="11.44140625" style="203" customWidth="1"/>
    <col min="13" max="13" width="11.44140625" style="2" customWidth="1"/>
    <col min="14" max="14" width="10.77734375" style="31" customWidth="1"/>
    <col min="15" max="15" width="14.109375" style="203" customWidth="1"/>
    <col min="16" max="16" width="11.44140625" style="2" customWidth="1"/>
    <col min="17" max="17" width="10" style="2" customWidth="1"/>
    <col min="18" max="18" width="11.109375" style="2" customWidth="1"/>
    <col min="19" max="19" width="9.33203125" style="260"/>
    <col min="20" max="20" width="9.33203125" style="376" hidden="1" customWidth="1"/>
    <col min="21" max="21" width="9.33203125" style="388"/>
    <col min="22" max="22" width="27.6640625" style="41" bestFit="1" customWidth="1"/>
    <col min="23" max="23" width="12.109375" style="41" customWidth="1"/>
    <col min="24" max="24" width="28.109375" style="41" hidden="1" customWidth="1"/>
    <col min="25" max="147" width="9.33203125" style="41"/>
    <col min="148" max="16384" width="9.33203125" style="2"/>
  </cols>
  <sheetData>
    <row r="1" spans="1:147" x14ac:dyDescent="0.3">
      <c r="A1" s="2" t="s">
        <v>0</v>
      </c>
      <c r="B1" s="139" t="str">
        <f>IF(ISBLANK(Summary!B1)," ",Summary!B1)</f>
        <v>&lt;Enter Account Name&gt;</v>
      </c>
      <c r="C1" s="141"/>
    </row>
    <row r="2" spans="1:147" x14ac:dyDescent="0.3">
      <c r="A2" s="2" t="s">
        <v>164</v>
      </c>
      <c r="B2" s="139" t="str">
        <f>IF(ISBLANK(Summary!B3)," ",Summary!B3)</f>
        <v>NEW ECR</v>
      </c>
      <c r="C2" s="141"/>
      <c r="V2" s="42"/>
      <c r="X2" s="41" t="s">
        <v>99</v>
      </c>
    </row>
    <row r="3" spans="1:147" x14ac:dyDescent="0.3">
      <c r="A3" s="2" t="s">
        <v>2</v>
      </c>
      <c r="B3" s="2" t="s">
        <v>190</v>
      </c>
      <c r="C3" s="127"/>
      <c r="G3" s="127"/>
      <c r="H3" s="223"/>
      <c r="I3" s="127"/>
      <c r="J3" s="127"/>
      <c r="V3" s="42"/>
      <c r="X3" s="41" t="s">
        <v>100</v>
      </c>
    </row>
    <row r="4" spans="1:147" x14ac:dyDescent="0.3">
      <c r="A4" s="2" t="s">
        <v>3</v>
      </c>
      <c r="B4" s="139" t="str">
        <f>IF(ISBLANK(Summary!B5)," ",Summary!B5)</f>
        <v>Fixed Price</v>
      </c>
      <c r="C4" s="142"/>
      <c r="V4" s="42"/>
      <c r="X4" s="41" t="s">
        <v>169</v>
      </c>
    </row>
    <row r="5" spans="1:147" x14ac:dyDescent="0.3">
      <c r="A5" s="2" t="s">
        <v>150</v>
      </c>
      <c r="B5" s="99" t="str">
        <f>IF(ISBLANK(Summary!B6),"ADD on SUMMARY tab",Summary!B6)</f>
        <v>NA</v>
      </c>
      <c r="C5" s="99"/>
      <c r="G5" s="125" t="str">
        <f>IF(AND(O51&gt;0,O53=0),"Enter Total Price in N43"," ")</f>
        <v xml:space="preserve"> </v>
      </c>
      <c r="V5" s="42"/>
      <c r="X5" s="41" t="s">
        <v>101</v>
      </c>
    </row>
    <row r="6" spans="1:147" x14ac:dyDescent="0.3">
      <c r="A6" s="2" t="s">
        <v>4</v>
      </c>
      <c r="B6" s="88"/>
      <c r="C6" s="143"/>
      <c r="D6" s="4" t="str">
        <f>IF(B6&gt;MIN(D14:D34),"Staffing Starts before this date!",IF(B6&lt;MIN(D14:D34),"No staffing on start date!",""))</f>
        <v/>
      </c>
      <c r="E6"/>
      <c r="F6"/>
      <c r="G6"/>
      <c r="H6" s="117"/>
      <c r="I6"/>
      <c r="J6"/>
      <c r="K6" s="204"/>
      <c r="L6" s="204"/>
      <c r="M6"/>
      <c r="N6" s="50"/>
      <c r="O6" s="204"/>
      <c r="V6" s="42"/>
      <c r="X6" s="41" t="s">
        <v>102</v>
      </c>
    </row>
    <row r="7" spans="1:147" x14ac:dyDescent="0.3">
      <c r="A7" s="2" t="s">
        <v>5</v>
      </c>
      <c r="B7" s="88">
        <f>MAX(E14:E23)</f>
        <v>0</v>
      </c>
      <c r="C7" s="143"/>
      <c r="D7" s="4" t="str">
        <f>IF(B7&gt;MAX(E14:E34),"Staffing ends before project end date!",IF(B7&lt;MAX(E14:E34),"Staffing continues after end date!",""))</f>
        <v/>
      </c>
      <c r="E7"/>
      <c r="F7"/>
      <c r="G7"/>
      <c r="H7" s="117"/>
      <c r="I7"/>
      <c r="J7"/>
      <c r="K7" s="204"/>
      <c r="L7" s="204"/>
      <c r="M7"/>
      <c r="N7" s="50"/>
      <c r="O7" s="204"/>
      <c r="V7" s="42"/>
      <c r="X7" s="41" t="s">
        <v>103</v>
      </c>
    </row>
    <row r="8" spans="1:147" x14ac:dyDescent="0.3">
      <c r="A8" s="2" t="s">
        <v>6</v>
      </c>
      <c r="B8" s="139" t="str">
        <f>IF(ISBLANK(Summary!B9)," ",Summary!B9)</f>
        <v>Quote</v>
      </c>
      <c r="C8" s="142"/>
      <c r="E8" s="2" t="s">
        <v>160</v>
      </c>
      <c r="F8" s="89">
        <v>0.05</v>
      </c>
      <c r="V8" s="42"/>
      <c r="X8" s="41" t="s">
        <v>151</v>
      </c>
    </row>
    <row r="9" spans="1:147" x14ac:dyDescent="0.3">
      <c r="A9" s="2" t="s">
        <v>84</v>
      </c>
      <c r="B9" s="126">
        <v>8</v>
      </c>
      <c r="C9" s="144"/>
      <c r="E9" s="2" t="s">
        <v>159</v>
      </c>
      <c r="F9" s="89">
        <v>0.2</v>
      </c>
      <c r="V9" s="42"/>
      <c r="X9" s="41" t="s">
        <v>170</v>
      </c>
    </row>
    <row r="10" spans="1:147" x14ac:dyDescent="0.3">
      <c r="A10" s="2" t="s">
        <v>72</v>
      </c>
      <c r="B10" s="154" t="str">
        <f>IF(ISBLANK(Summary!B14),"SELECT ONE",Summary!B14)</f>
        <v>USD</v>
      </c>
      <c r="X10" s="41" t="s">
        <v>104</v>
      </c>
    </row>
    <row r="11" spans="1:147" x14ac:dyDescent="0.3">
      <c r="F11" s="5"/>
      <c r="G11" s="3"/>
      <c r="X11" s="41" t="s">
        <v>105</v>
      </c>
    </row>
    <row r="12" spans="1:147" x14ac:dyDescent="0.3">
      <c r="A12" s="3"/>
      <c r="B12" s="3"/>
      <c r="C12" s="3"/>
      <c r="D12" s="5"/>
      <c r="E12" s="5"/>
      <c r="F12" s="5"/>
      <c r="G12" s="6"/>
      <c r="H12" s="118"/>
      <c r="I12" s="6"/>
      <c r="J12" s="6"/>
      <c r="K12" s="205"/>
      <c r="L12" s="205"/>
      <c r="M12" s="6"/>
      <c r="N12" s="34" t="s">
        <v>85</v>
      </c>
      <c r="O12" s="205"/>
      <c r="P12" s="6"/>
      <c r="Q12" s="6"/>
      <c r="R12" s="6"/>
      <c r="X12" s="41" t="s">
        <v>106</v>
      </c>
    </row>
    <row r="13" spans="1:147" s="3" customFormat="1" x14ac:dyDescent="0.3">
      <c r="A13" s="12" t="s">
        <v>54</v>
      </c>
      <c r="B13" s="12" t="s">
        <v>55</v>
      </c>
      <c r="C13" s="12" t="s">
        <v>96</v>
      </c>
      <c r="D13" s="13" t="s">
        <v>56</v>
      </c>
      <c r="E13" s="13" t="s">
        <v>57</v>
      </c>
      <c r="F13" s="13" t="s">
        <v>7</v>
      </c>
      <c r="G13" s="13" t="s">
        <v>20</v>
      </c>
      <c r="H13" s="119" t="s">
        <v>83</v>
      </c>
      <c r="I13" s="35" t="s">
        <v>10</v>
      </c>
      <c r="J13" s="13" t="s">
        <v>58</v>
      </c>
      <c r="K13" s="206" t="s">
        <v>59</v>
      </c>
      <c r="L13" s="217" t="s">
        <v>31</v>
      </c>
      <c r="M13" s="13" t="s">
        <v>21</v>
      </c>
      <c r="N13" s="35" t="s">
        <v>22</v>
      </c>
      <c r="O13" s="217" t="s">
        <v>60</v>
      </c>
      <c r="P13" s="13" t="s">
        <v>32</v>
      </c>
      <c r="Q13" s="13" t="s">
        <v>23</v>
      </c>
      <c r="R13" s="13" t="s">
        <v>24</v>
      </c>
      <c r="S13" s="372"/>
      <c r="T13" s="387"/>
      <c r="U13" s="389"/>
      <c r="V13" s="240"/>
      <c r="W13" s="240"/>
      <c r="X13" s="41" t="s">
        <v>143</v>
      </c>
      <c r="Y13" s="240"/>
      <c r="Z13" s="240"/>
      <c r="AA13" s="240"/>
      <c r="AB13" s="240"/>
      <c r="AC13" s="240"/>
      <c r="AD13" s="240"/>
      <c r="AE13" s="240"/>
      <c r="AF13" s="240"/>
      <c r="AG13" s="240"/>
      <c r="AH13" s="240"/>
      <c r="AI13" s="240"/>
      <c r="AJ13" s="240"/>
      <c r="AK13" s="240"/>
      <c r="AL13" s="240"/>
      <c r="AM13" s="240"/>
      <c r="AN13" s="240"/>
      <c r="AO13" s="240"/>
      <c r="AP13" s="240"/>
      <c r="AQ13" s="240"/>
      <c r="AR13" s="240"/>
      <c r="AS13" s="240"/>
      <c r="AT13" s="240"/>
      <c r="AU13" s="240"/>
      <c r="AV13" s="240"/>
      <c r="AW13" s="240"/>
      <c r="AX13" s="240"/>
      <c r="AY13" s="240"/>
      <c r="AZ13" s="240"/>
      <c r="BA13" s="240"/>
      <c r="BB13" s="240"/>
      <c r="BC13" s="240"/>
      <c r="BD13" s="240"/>
      <c r="BE13" s="240"/>
      <c r="BF13" s="240"/>
      <c r="BG13" s="240"/>
      <c r="BH13" s="240"/>
      <c r="BI13" s="240"/>
      <c r="BJ13" s="240"/>
      <c r="BK13" s="240"/>
      <c r="BL13" s="240"/>
      <c r="BM13" s="240"/>
      <c r="BN13" s="240"/>
      <c r="BO13" s="240"/>
      <c r="BP13" s="240"/>
      <c r="BQ13" s="240"/>
      <c r="BR13" s="240"/>
      <c r="BS13" s="240"/>
      <c r="BT13" s="240"/>
      <c r="BU13" s="240"/>
      <c r="BV13" s="240"/>
      <c r="BW13" s="240"/>
      <c r="BX13" s="240"/>
      <c r="BY13" s="240"/>
      <c r="BZ13" s="240"/>
      <c r="CA13" s="240"/>
      <c r="CB13" s="240"/>
      <c r="CC13" s="240"/>
      <c r="CD13" s="240"/>
      <c r="CE13" s="240"/>
      <c r="CF13" s="240"/>
      <c r="CG13" s="240"/>
      <c r="CH13" s="240"/>
      <c r="CI13" s="240"/>
      <c r="CJ13" s="240"/>
      <c r="CK13" s="240"/>
      <c r="CL13" s="240"/>
      <c r="CM13" s="240"/>
      <c r="CN13" s="240"/>
      <c r="CO13" s="240"/>
      <c r="CP13" s="240"/>
      <c r="CQ13" s="240"/>
      <c r="CR13" s="240"/>
      <c r="CS13" s="240"/>
      <c r="CT13" s="240"/>
      <c r="CU13" s="240"/>
      <c r="CV13" s="240"/>
      <c r="CW13" s="240"/>
      <c r="CX13" s="240"/>
      <c r="CY13" s="240"/>
      <c r="CZ13" s="240"/>
      <c r="DA13" s="240"/>
      <c r="DB13" s="240"/>
      <c r="DC13" s="240"/>
      <c r="DD13" s="240"/>
      <c r="DE13" s="240"/>
      <c r="DF13" s="240"/>
      <c r="DG13" s="240"/>
      <c r="DH13" s="240"/>
      <c r="DI13" s="240"/>
      <c r="DJ13" s="240"/>
      <c r="DK13" s="240"/>
      <c r="DL13" s="240"/>
      <c r="DM13" s="240"/>
      <c r="DN13" s="240"/>
      <c r="DO13" s="240"/>
      <c r="DP13" s="240"/>
      <c r="DQ13" s="240"/>
      <c r="DR13" s="240"/>
      <c r="DS13" s="240"/>
      <c r="DT13" s="240"/>
      <c r="DU13" s="240"/>
      <c r="DV13" s="240"/>
      <c r="DW13" s="240"/>
      <c r="DX13" s="240"/>
      <c r="DY13" s="240"/>
      <c r="DZ13" s="240"/>
      <c r="EA13" s="240"/>
      <c r="EB13" s="240"/>
      <c r="EC13" s="240"/>
      <c r="ED13" s="240"/>
      <c r="EE13" s="240"/>
      <c r="EF13" s="240"/>
      <c r="EG13" s="240"/>
      <c r="EH13" s="240"/>
      <c r="EI13" s="240"/>
      <c r="EJ13" s="240"/>
      <c r="EK13" s="240"/>
      <c r="EL13" s="240"/>
      <c r="EM13" s="240"/>
      <c r="EN13" s="240"/>
      <c r="EO13" s="240"/>
      <c r="EP13" s="240"/>
      <c r="EQ13" s="240"/>
    </row>
    <row r="14" spans="1:147" outlineLevel="1" x14ac:dyDescent="0.3">
      <c r="A14" s="160" t="s">
        <v>99</v>
      </c>
      <c r="B14" s="160"/>
      <c r="C14" s="87"/>
      <c r="D14" s="161"/>
      <c r="E14" s="161"/>
      <c r="F14" s="162">
        <v>0.1</v>
      </c>
      <c r="G14" s="163">
        <f t="shared" ref="G14:G23" si="0">IF(ISBLANK(A14),"",NETWORKDAYS(D14,E14)*F14)</f>
        <v>0</v>
      </c>
      <c r="H14" s="164">
        <f t="shared" ref="H14:H23" si="1">IF(ISBLANK(A14),"",G14*$B$9)</f>
        <v>0</v>
      </c>
      <c r="I14" s="176">
        <f>IF(ISBLANK(A14),"",VLOOKUP(A14,gsrates!$A$3:$AK$38,VLOOKUP($B$5,gsrates!$A$41:$C$58,2,FALSE),FALSE))</f>
        <v>330</v>
      </c>
      <c r="J14" s="80">
        <f t="shared" ref="J14:J23" si="2">IF(ISBLANK(A14),"",H14*I14)</f>
        <v>0</v>
      </c>
      <c r="K14" s="207">
        <f>IF(ISBLANK(A14),"",VLOOKUP(A14,gsrates!$A$3:$AK$38,VLOOKUP($B$5,gsrates!$A$41:$C$58,3,FALSE),FALSE))</f>
        <v>162</v>
      </c>
      <c r="L14" s="207">
        <f t="shared" ref="L14:L23" si="3">IF(ISBLANK(A14),"",K14*G14*8)</f>
        <v>0</v>
      </c>
      <c r="M14" s="80">
        <f t="shared" ref="M14:M23" si="4">IF(ISBLANK(A14),"",J14-L14)</f>
        <v>0</v>
      </c>
      <c r="N14" s="177">
        <v>0</v>
      </c>
      <c r="O14" s="207">
        <f t="shared" ref="O14:O23" si="5">IF(ISBLANK(A14),"",G14*N14*$B$9)</f>
        <v>0</v>
      </c>
      <c r="P14" s="80">
        <f t="shared" ref="P14:P23" si="6">IF(ISBLANK(A14),"",O14-L14)</f>
        <v>0</v>
      </c>
      <c r="Q14" s="155" t="e">
        <f t="shared" ref="Q14:Q23" si="7">IF(ISBLANK(A14),"",P14/O14)</f>
        <v>#DIV/0!</v>
      </c>
      <c r="R14" s="166" t="e">
        <f t="shared" ref="R14:R23" si="8">IF(ISBLANK(A14),"",1-O14/J14)</f>
        <v>#DIV/0!</v>
      </c>
      <c r="S14" s="373">
        <f>IF(ISBLANK(A14),"",VLOOKUP(A14,gsrates!$A$3:$AL$38,38,FALSE))</f>
        <v>0</v>
      </c>
      <c r="T14" s="376" t="str">
        <f t="shared" ref="T14:T23" si="9">IF(ISBLANK(A14),"",CONCATENATE(C14,"-",$B$5))</f>
        <v>-NA</v>
      </c>
      <c r="U14" s="388">
        <f>IF(S14=1,H14,0)</f>
        <v>0</v>
      </c>
      <c r="X14" s="41" t="s">
        <v>162</v>
      </c>
    </row>
    <row r="15" spans="1:147" outlineLevel="1" x14ac:dyDescent="0.3">
      <c r="A15" s="160"/>
      <c r="B15" s="160"/>
      <c r="C15" s="87"/>
      <c r="D15" s="161"/>
      <c r="E15" s="161"/>
      <c r="F15" s="162"/>
      <c r="G15" s="163" t="str">
        <f t="shared" si="0"/>
        <v/>
      </c>
      <c r="H15" s="164" t="str">
        <f t="shared" si="1"/>
        <v/>
      </c>
      <c r="I15" s="176" t="str">
        <f>IF(ISBLANK(A15),"",VLOOKUP(A15,gsrates!$A$3:$AK$38,VLOOKUP($B$5,gsrates!$A$41:$C$58,2,FALSE),FALSE))</f>
        <v/>
      </c>
      <c r="J15" s="80" t="str">
        <f t="shared" si="2"/>
        <v/>
      </c>
      <c r="K15" s="207" t="str">
        <f>IF(ISBLANK(A15),"",VLOOKUP(A15,gsrates!$A$3:$AK$38,VLOOKUP($B$5,gsrates!$A$41:$C$58,3,FALSE),FALSE))</f>
        <v/>
      </c>
      <c r="L15" s="207" t="str">
        <f t="shared" si="3"/>
        <v/>
      </c>
      <c r="M15" s="80" t="str">
        <f t="shared" si="4"/>
        <v/>
      </c>
      <c r="N15" s="177">
        <v>0</v>
      </c>
      <c r="O15" s="207" t="str">
        <f t="shared" si="5"/>
        <v/>
      </c>
      <c r="P15" s="80" t="str">
        <f t="shared" si="6"/>
        <v/>
      </c>
      <c r="Q15" s="155" t="str">
        <f t="shared" si="7"/>
        <v/>
      </c>
      <c r="R15" s="166" t="str">
        <f t="shared" si="8"/>
        <v/>
      </c>
      <c r="S15" s="373" t="str">
        <f>IF(ISBLANK(A15),"",VLOOKUP(A15,gsrates!$A$3:$AL$38,38,FALSE))</f>
        <v/>
      </c>
      <c r="T15" s="376" t="str">
        <f t="shared" si="9"/>
        <v/>
      </c>
      <c r="U15" s="388">
        <f t="shared" ref="U15:U23" si="10">IF(S15=1,H15,0)</f>
        <v>0</v>
      </c>
    </row>
    <row r="16" spans="1:147" outlineLevel="1" x14ac:dyDescent="0.3">
      <c r="A16" s="160"/>
      <c r="B16" s="160"/>
      <c r="C16" s="87"/>
      <c r="D16" s="161"/>
      <c r="E16" s="161"/>
      <c r="F16" s="162"/>
      <c r="G16" s="163" t="str">
        <f t="shared" si="0"/>
        <v/>
      </c>
      <c r="H16" s="164" t="str">
        <f t="shared" si="1"/>
        <v/>
      </c>
      <c r="I16" s="176" t="str">
        <f>IF(ISBLANK(A16),"",VLOOKUP(A16,gsrates!$A$3:$AK$38,VLOOKUP($B$5,gsrates!$A$41:$C$58,2,FALSE),FALSE))</f>
        <v/>
      </c>
      <c r="J16" s="80" t="str">
        <f t="shared" si="2"/>
        <v/>
      </c>
      <c r="K16" s="207" t="str">
        <f>IF(ISBLANK(A16),"",VLOOKUP(A16,gsrates!$A$3:$AK$38,VLOOKUP($B$5,gsrates!$A$41:$C$58,3,FALSE),FALSE))</f>
        <v/>
      </c>
      <c r="L16" s="207" t="str">
        <f t="shared" si="3"/>
        <v/>
      </c>
      <c r="M16" s="80" t="str">
        <f t="shared" si="4"/>
        <v/>
      </c>
      <c r="N16" s="177">
        <v>0</v>
      </c>
      <c r="O16" s="207" t="str">
        <f t="shared" si="5"/>
        <v/>
      </c>
      <c r="P16" s="80" t="str">
        <f t="shared" si="6"/>
        <v/>
      </c>
      <c r="Q16" s="155" t="str">
        <f t="shared" si="7"/>
        <v/>
      </c>
      <c r="R16" s="166" t="str">
        <f t="shared" si="8"/>
        <v/>
      </c>
      <c r="S16" s="373" t="str">
        <f>IF(ISBLANK(A16),"",VLOOKUP(A16,gsrates!$A$3:$AL$38,38,FALSE))</f>
        <v/>
      </c>
      <c r="T16" s="376" t="str">
        <f t="shared" si="9"/>
        <v/>
      </c>
      <c r="U16" s="388">
        <f t="shared" si="10"/>
        <v>0</v>
      </c>
    </row>
    <row r="17" spans="1:147" outlineLevel="1" x14ac:dyDescent="0.3">
      <c r="A17" s="160"/>
      <c r="B17" s="160"/>
      <c r="C17" s="87"/>
      <c r="D17" s="161"/>
      <c r="E17" s="161"/>
      <c r="F17" s="162"/>
      <c r="G17" s="163" t="str">
        <f t="shared" si="0"/>
        <v/>
      </c>
      <c r="H17" s="164" t="str">
        <f t="shared" si="1"/>
        <v/>
      </c>
      <c r="I17" s="176" t="str">
        <f>IF(ISBLANK(A17),"",VLOOKUP(A17,gsrates!$A$3:$AK$38,VLOOKUP($B$5,gsrates!$A$41:$C$58,2,FALSE),FALSE))</f>
        <v/>
      </c>
      <c r="J17" s="80" t="str">
        <f t="shared" si="2"/>
        <v/>
      </c>
      <c r="K17" s="207" t="str">
        <f>IF(ISBLANK(A17),"",VLOOKUP(A17,gsrates!$A$3:$AK$38,VLOOKUP($B$5,gsrates!$A$41:$C$58,3,FALSE),FALSE))</f>
        <v/>
      </c>
      <c r="L17" s="207" t="str">
        <f t="shared" si="3"/>
        <v/>
      </c>
      <c r="M17" s="80" t="str">
        <f t="shared" si="4"/>
        <v/>
      </c>
      <c r="N17" s="177">
        <v>0</v>
      </c>
      <c r="O17" s="207" t="str">
        <f t="shared" si="5"/>
        <v/>
      </c>
      <c r="P17" s="80" t="str">
        <f t="shared" si="6"/>
        <v/>
      </c>
      <c r="Q17" s="155" t="str">
        <f t="shared" si="7"/>
        <v/>
      </c>
      <c r="R17" s="166" t="str">
        <f t="shared" si="8"/>
        <v/>
      </c>
      <c r="S17" s="373" t="str">
        <f>IF(ISBLANK(A17),"",VLOOKUP(A17,gsrates!$A$3:$AL$38,38,FALSE))</f>
        <v/>
      </c>
      <c r="T17" s="376" t="str">
        <f t="shared" si="9"/>
        <v/>
      </c>
      <c r="U17" s="388">
        <f t="shared" si="10"/>
        <v>0</v>
      </c>
    </row>
    <row r="18" spans="1:147" outlineLevel="1" x14ac:dyDescent="0.3">
      <c r="A18" s="160"/>
      <c r="B18" s="160"/>
      <c r="C18" s="87"/>
      <c r="D18" s="161"/>
      <c r="E18" s="161"/>
      <c r="F18" s="162"/>
      <c r="G18" s="163" t="str">
        <f t="shared" si="0"/>
        <v/>
      </c>
      <c r="H18" s="164" t="str">
        <f t="shared" si="1"/>
        <v/>
      </c>
      <c r="I18" s="176" t="str">
        <f>IF(ISBLANK(A18),"",VLOOKUP(A18,gsrates!$A$3:$AK$38,VLOOKUP($B$5,gsrates!$A$41:$C$58,2,FALSE),FALSE))</f>
        <v/>
      </c>
      <c r="J18" s="80" t="str">
        <f t="shared" si="2"/>
        <v/>
      </c>
      <c r="K18" s="207" t="str">
        <f>IF(ISBLANK(A18),"",VLOOKUP(A18,gsrates!$A$3:$AK$38,VLOOKUP($B$5,gsrates!$A$41:$C$58,3,FALSE),FALSE))</f>
        <v/>
      </c>
      <c r="L18" s="207" t="str">
        <f t="shared" si="3"/>
        <v/>
      </c>
      <c r="M18" s="80" t="str">
        <f t="shared" si="4"/>
        <v/>
      </c>
      <c r="N18" s="177">
        <v>0</v>
      </c>
      <c r="O18" s="207" t="str">
        <f t="shared" si="5"/>
        <v/>
      </c>
      <c r="P18" s="80" t="str">
        <f t="shared" si="6"/>
        <v/>
      </c>
      <c r="Q18" s="155" t="str">
        <f t="shared" si="7"/>
        <v/>
      </c>
      <c r="R18" s="166" t="str">
        <f t="shared" si="8"/>
        <v/>
      </c>
      <c r="S18" s="373" t="str">
        <f>IF(ISBLANK(A18),"",VLOOKUP(A18,gsrates!$A$3:$AL$38,38,FALSE))</f>
        <v/>
      </c>
      <c r="T18" s="376" t="str">
        <f t="shared" si="9"/>
        <v/>
      </c>
      <c r="U18" s="388">
        <f t="shared" si="10"/>
        <v>0</v>
      </c>
    </row>
    <row r="19" spans="1:147" outlineLevel="1" x14ac:dyDescent="0.3">
      <c r="A19" s="160"/>
      <c r="B19" s="160"/>
      <c r="C19" s="87"/>
      <c r="D19" s="161"/>
      <c r="E19" s="161"/>
      <c r="F19" s="162"/>
      <c r="G19" s="163" t="str">
        <f t="shared" si="0"/>
        <v/>
      </c>
      <c r="H19" s="164" t="str">
        <f t="shared" si="1"/>
        <v/>
      </c>
      <c r="I19" s="176" t="str">
        <f>IF(ISBLANK(A19),"",VLOOKUP(A19,gsrates!$A$3:$AK$38,VLOOKUP($B$5,gsrates!$A$41:$C$58,2,FALSE),FALSE))</f>
        <v/>
      </c>
      <c r="J19" s="80" t="str">
        <f t="shared" si="2"/>
        <v/>
      </c>
      <c r="K19" s="207" t="str">
        <f>IF(ISBLANK(A19),"",VLOOKUP(A19,gsrates!$A$3:$AK$38,VLOOKUP($B$5,gsrates!$A$41:$C$58,3,FALSE),FALSE))</f>
        <v/>
      </c>
      <c r="L19" s="207" t="str">
        <f t="shared" si="3"/>
        <v/>
      </c>
      <c r="M19" s="80" t="str">
        <f t="shared" si="4"/>
        <v/>
      </c>
      <c r="N19" s="177">
        <v>0</v>
      </c>
      <c r="O19" s="207" t="str">
        <f t="shared" si="5"/>
        <v/>
      </c>
      <c r="P19" s="80" t="str">
        <f t="shared" si="6"/>
        <v/>
      </c>
      <c r="Q19" s="155" t="str">
        <f t="shared" si="7"/>
        <v/>
      </c>
      <c r="R19" s="166" t="str">
        <f t="shared" si="8"/>
        <v/>
      </c>
      <c r="S19" s="373" t="str">
        <f>IF(ISBLANK(A19),"",VLOOKUP(A19,gsrates!$A$3:$AL$38,38,FALSE))</f>
        <v/>
      </c>
      <c r="T19" s="376" t="str">
        <f t="shared" si="9"/>
        <v/>
      </c>
      <c r="U19" s="388">
        <f t="shared" si="10"/>
        <v>0</v>
      </c>
    </row>
    <row r="20" spans="1:147" outlineLevel="1" x14ac:dyDescent="0.3">
      <c r="A20" s="160"/>
      <c r="B20" s="160"/>
      <c r="C20" s="87"/>
      <c r="D20" s="161"/>
      <c r="E20" s="161"/>
      <c r="F20" s="162"/>
      <c r="G20" s="163" t="str">
        <f t="shared" si="0"/>
        <v/>
      </c>
      <c r="H20" s="164" t="str">
        <f t="shared" si="1"/>
        <v/>
      </c>
      <c r="I20" s="176" t="str">
        <f>IF(ISBLANK(A20),"",VLOOKUP(A20,gsrates!$A$3:$AK$38,VLOOKUP($B$5,gsrates!$A$41:$C$58,2,FALSE),FALSE))</f>
        <v/>
      </c>
      <c r="J20" s="80" t="str">
        <f t="shared" si="2"/>
        <v/>
      </c>
      <c r="K20" s="207" t="str">
        <f>IF(ISBLANK(A20),"",VLOOKUP(A20,gsrates!$A$3:$AK$38,VLOOKUP($B$5,gsrates!$A$41:$C$58,3,FALSE),FALSE))</f>
        <v/>
      </c>
      <c r="L20" s="207" t="str">
        <f t="shared" si="3"/>
        <v/>
      </c>
      <c r="M20" s="80" t="str">
        <f t="shared" si="4"/>
        <v/>
      </c>
      <c r="N20" s="177">
        <v>0</v>
      </c>
      <c r="O20" s="207" t="str">
        <f t="shared" si="5"/>
        <v/>
      </c>
      <c r="P20" s="80" t="str">
        <f t="shared" si="6"/>
        <v/>
      </c>
      <c r="Q20" s="155" t="str">
        <f t="shared" si="7"/>
        <v/>
      </c>
      <c r="R20" s="166" t="str">
        <f t="shared" si="8"/>
        <v/>
      </c>
      <c r="S20" s="373" t="str">
        <f>IF(ISBLANK(A20),"",VLOOKUP(A20,gsrates!$A$3:$AL$38,38,FALSE))</f>
        <v/>
      </c>
      <c r="T20" s="376" t="str">
        <f t="shared" si="9"/>
        <v/>
      </c>
      <c r="U20" s="388">
        <f t="shared" si="10"/>
        <v>0</v>
      </c>
    </row>
    <row r="21" spans="1:147" outlineLevel="1" x14ac:dyDescent="0.3">
      <c r="A21" s="160"/>
      <c r="B21" s="160"/>
      <c r="C21" s="87"/>
      <c r="D21" s="161"/>
      <c r="E21" s="161"/>
      <c r="F21" s="162"/>
      <c r="G21" s="163" t="str">
        <f t="shared" si="0"/>
        <v/>
      </c>
      <c r="H21" s="164" t="str">
        <f t="shared" si="1"/>
        <v/>
      </c>
      <c r="I21" s="176" t="str">
        <f>IF(ISBLANK(A21),"",VLOOKUP(A21,gsrates!$A$3:$AK$38,VLOOKUP($B$5,gsrates!$A$41:$C$58,2,FALSE),FALSE))</f>
        <v/>
      </c>
      <c r="J21" s="80" t="str">
        <f t="shared" si="2"/>
        <v/>
      </c>
      <c r="K21" s="207" t="str">
        <f>IF(ISBLANK(A21),"",VLOOKUP(A21,gsrates!$A$3:$AK$38,VLOOKUP($B$5,gsrates!$A$41:$C$58,3,FALSE),FALSE))</f>
        <v/>
      </c>
      <c r="L21" s="207" t="str">
        <f t="shared" si="3"/>
        <v/>
      </c>
      <c r="M21" s="80" t="str">
        <f t="shared" si="4"/>
        <v/>
      </c>
      <c r="N21" s="177">
        <v>0</v>
      </c>
      <c r="O21" s="207" t="str">
        <f t="shared" si="5"/>
        <v/>
      </c>
      <c r="P21" s="80" t="str">
        <f t="shared" si="6"/>
        <v/>
      </c>
      <c r="Q21" s="155" t="str">
        <f t="shared" si="7"/>
        <v/>
      </c>
      <c r="R21" s="166" t="str">
        <f t="shared" si="8"/>
        <v/>
      </c>
      <c r="S21" s="373" t="str">
        <f>IF(ISBLANK(A21),"",VLOOKUP(A21,gsrates!$A$3:$AL$38,38,FALSE))</f>
        <v/>
      </c>
      <c r="T21" s="376" t="str">
        <f t="shared" si="9"/>
        <v/>
      </c>
      <c r="U21" s="388">
        <f t="shared" si="10"/>
        <v>0</v>
      </c>
    </row>
    <row r="22" spans="1:147" outlineLevel="1" x14ac:dyDescent="0.3">
      <c r="A22" s="160"/>
      <c r="B22" s="160"/>
      <c r="C22" s="87"/>
      <c r="D22" s="161"/>
      <c r="E22" s="161"/>
      <c r="F22" s="162"/>
      <c r="G22" s="163" t="str">
        <f t="shared" si="0"/>
        <v/>
      </c>
      <c r="H22" s="164" t="str">
        <f t="shared" si="1"/>
        <v/>
      </c>
      <c r="I22" s="176" t="str">
        <f>IF(ISBLANK(A22),"",VLOOKUP(A22,gsrates!$A$3:$AK$38,VLOOKUP($B$5,gsrates!$A$41:$C$58,2,FALSE),FALSE))</f>
        <v/>
      </c>
      <c r="J22" s="80" t="str">
        <f t="shared" si="2"/>
        <v/>
      </c>
      <c r="K22" s="207" t="str">
        <f>IF(ISBLANK(A22),"",VLOOKUP(A22,gsrates!$A$3:$AK$38,VLOOKUP($B$5,gsrates!$A$41:$C$58,3,FALSE),FALSE))</f>
        <v/>
      </c>
      <c r="L22" s="207" t="str">
        <f t="shared" si="3"/>
        <v/>
      </c>
      <c r="M22" s="80" t="str">
        <f t="shared" si="4"/>
        <v/>
      </c>
      <c r="N22" s="177">
        <v>0</v>
      </c>
      <c r="O22" s="207" t="str">
        <f t="shared" si="5"/>
        <v/>
      </c>
      <c r="P22" s="80" t="str">
        <f t="shared" si="6"/>
        <v/>
      </c>
      <c r="Q22" s="155" t="str">
        <f t="shared" si="7"/>
        <v/>
      </c>
      <c r="R22" s="166" t="str">
        <f t="shared" si="8"/>
        <v/>
      </c>
      <c r="S22" s="373" t="str">
        <f>IF(ISBLANK(A22),"",VLOOKUP(A22,gsrates!$A$3:$AL$38,38,FALSE))</f>
        <v/>
      </c>
      <c r="T22" s="376" t="str">
        <f t="shared" si="9"/>
        <v/>
      </c>
      <c r="U22" s="388">
        <f t="shared" si="10"/>
        <v>0</v>
      </c>
    </row>
    <row r="23" spans="1:147" s="11" customFormat="1" ht="14.4" outlineLevel="1" thickBot="1" x14ac:dyDescent="0.35">
      <c r="A23" s="167"/>
      <c r="B23" s="167"/>
      <c r="C23" s="167"/>
      <c r="D23" s="168"/>
      <c r="E23" s="168"/>
      <c r="F23" s="169"/>
      <c r="G23" s="170" t="str">
        <f t="shared" si="0"/>
        <v/>
      </c>
      <c r="H23" s="171" t="str">
        <f t="shared" si="1"/>
        <v/>
      </c>
      <c r="I23" s="178" t="str">
        <f>IF(ISBLANK(A23),"",VLOOKUP(A23,gsrates!$A$3:$AK$38,VLOOKUP($B$5,gsrates!$A$41:$C$58,2,FALSE),FALSE))</f>
        <v/>
      </c>
      <c r="J23" s="82" t="str">
        <f t="shared" si="2"/>
        <v/>
      </c>
      <c r="K23" s="208" t="str">
        <f>IF(ISBLANK(A23),"",VLOOKUP(A23,gsrates!$A$3:$AK$38,VLOOKUP($B$5,gsrates!$A$41:$C$58,3,FALSE),FALSE))</f>
        <v/>
      </c>
      <c r="L23" s="208" t="str">
        <f t="shared" si="3"/>
        <v/>
      </c>
      <c r="M23" s="82" t="str">
        <f t="shared" si="4"/>
        <v/>
      </c>
      <c r="N23" s="175">
        <v>0</v>
      </c>
      <c r="O23" s="208" t="str">
        <f t="shared" si="5"/>
        <v/>
      </c>
      <c r="P23" s="82" t="str">
        <f t="shared" si="6"/>
        <v/>
      </c>
      <c r="Q23" s="158" t="str">
        <f t="shared" si="7"/>
        <v/>
      </c>
      <c r="R23" s="173" t="str">
        <f t="shared" si="8"/>
        <v/>
      </c>
      <c r="S23" s="373" t="str">
        <f>IF(ISBLANK(A23),"",VLOOKUP(A23,gsrates!$A$3:$AL$38,38,FALSE))</f>
        <v/>
      </c>
      <c r="T23" s="376" t="str">
        <f t="shared" si="9"/>
        <v/>
      </c>
      <c r="U23" s="388">
        <f t="shared" si="10"/>
        <v>0</v>
      </c>
      <c r="V23" s="41"/>
      <c r="W23" s="41"/>
      <c r="X23" s="41"/>
      <c r="Y23" s="41"/>
      <c r="Z23" s="41"/>
      <c r="AA23" s="41"/>
      <c r="AB23" s="41"/>
      <c r="AC23" s="41"/>
      <c r="AD23" s="41"/>
      <c r="AE23" s="41"/>
      <c r="AF23" s="41"/>
      <c r="AG23" s="41"/>
      <c r="AH23" s="41"/>
      <c r="AI23" s="41"/>
      <c r="AJ23" s="41"/>
      <c r="AK23" s="41"/>
      <c r="AL23" s="41"/>
      <c r="AM23" s="41"/>
      <c r="AN23" s="41"/>
      <c r="AO23" s="41"/>
      <c r="AP23" s="41"/>
      <c r="AQ23" s="41"/>
      <c r="AR23" s="41"/>
      <c r="AS23" s="41"/>
      <c r="AT23" s="41"/>
      <c r="AU23" s="41"/>
      <c r="AV23" s="41"/>
      <c r="AW23" s="41"/>
      <c r="AX23" s="41"/>
      <c r="AY23" s="41"/>
      <c r="AZ23" s="41"/>
      <c r="BA23" s="41"/>
      <c r="BB23" s="41"/>
      <c r="BC23" s="41"/>
      <c r="BD23" s="41"/>
      <c r="BE23" s="41"/>
      <c r="BF23" s="41"/>
      <c r="BG23" s="41"/>
      <c r="BH23" s="41"/>
      <c r="BI23" s="41"/>
      <c r="BJ23" s="41"/>
      <c r="BK23" s="41"/>
      <c r="BL23" s="41"/>
      <c r="BM23" s="41"/>
      <c r="BN23" s="41"/>
      <c r="BO23" s="41"/>
      <c r="BP23" s="41"/>
      <c r="BQ23" s="41"/>
      <c r="BR23" s="41"/>
      <c r="BS23" s="41"/>
      <c r="BT23" s="41"/>
      <c r="BU23" s="41"/>
      <c r="BV23" s="41"/>
      <c r="BW23" s="41"/>
      <c r="BX23" s="41"/>
      <c r="BY23" s="41"/>
      <c r="BZ23" s="41"/>
      <c r="CA23" s="41"/>
      <c r="CB23" s="41"/>
      <c r="CC23" s="41"/>
      <c r="CD23" s="41"/>
      <c r="CE23" s="41"/>
      <c r="CF23" s="41"/>
      <c r="CG23" s="41"/>
      <c r="CH23" s="41"/>
      <c r="CI23" s="41"/>
      <c r="CJ23" s="41"/>
      <c r="CK23" s="41"/>
      <c r="CL23" s="41"/>
      <c r="CM23" s="41"/>
      <c r="CN23" s="41"/>
      <c r="CO23" s="41"/>
      <c r="CP23" s="41"/>
      <c r="CQ23" s="41"/>
      <c r="CR23" s="41"/>
      <c r="CS23" s="41"/>
      <c r="CT23" s="41"/>
      <c r="CU23" s="41"/>
      <c r="CV23" s="41"/>
      <c r="CW23" s="41"/>
      <c r="CX23" s="41"/>
      <c r="CY23" s="41"/>
      <c r="CZ23" s="41"/>
      <c r="DA23" s="41"/>
      <c r="DB23" s="41"/>
      <c r="DC23" s="41"/>
      <c r="DD23" s="41"/>
      <c r="DE23" s="41"/>
      <c r="DF23" s="41"/>
      <c r="DG23" s="41"/>
      <c r="DH23" s="41"/>
      <c r="DI23" s="41"/>
      <c r="DJ23" s="41"/>
      <c r="DK23" s="41"/>
      <c r="DL23" s="41"/>
      <c r="DM23" s="41"/>
      <c r="DN23" s="41"/>
      <c r="DO23" s="41"/>
      <c r="DP23" s="41"/>
      <c r="DQ23" s="41"/>
      <c r="DR23" s="41"/>
      <c r="DS23" s="41"/>
      <c r="DT23" s="41"/>
      <c r="DU23" s="41"/>
      <c r="DV23" s="41"/>
      <c r="DW23" s="41"/>
      <c r="DX23" s="41"/>
      <c r="DY23" s="41"/>
      <c r="DZ23" s="41"/>
      <c r="EA23" s="41"/>
      <c r="EB23" s="41"/>
      <c r="EC23" s="41"/>
      <c r="ED23" s="41"/>
      <c r="EE23" s="41"/>
      <c r="EF23" s="41"/>
      <c r="EG23" s="41"/>
      <c r="EH23" s="41"/>
      <c r="EI23" s="41"/>
      <c r="EJ23" s="41"/>
      <c r="EK23" s="41"/>
      <c r="EL23" s="41"/>
      <c r="EM23" s="41"/>
      <c r="EN23" s="41"/>
      <c r="EO23" s="41"/>
      <c r="EP23" s="41"/>
      <c r="EQ23" s="41"/>
    </row>
    <row r="24" spans="1:147" x14ac:dyDescent="0.3">
      <c r="A24" s="393" t="s">
        <v>11</v>
      </c>
      <c r="B24" s="393"/>
      <c r="C24" s="240"/>
      <c r="D24" s="7"/>
      <c r="E24" s="7"/>
      <c r="F24" s="8"/>
      <c r="G24" s="9">
        <f>SUM(G14:G23)</f>
        <v>0</v>
      </c>
      <c r="H24" s="9">
        <f>SUM(H14:H23)</f>
        <v>0</v>
      </c>
      <c r="I24" s="31"/>
      <c r="J24" s="36">
        <f>SUM(J14:J23)</f>
        <v>0</v>
      </c>
      <c r="K24" s="209"/>
      <c r="L24" s="209">
        <f>SUM(L14:L23)</f>
        <v>0</v>
      </c>
      <c r="M24" s="36">
        <f>SUM(M14:M23)</f>
        <v>0</v>
      </c>
      <c r="N24" s="33"/>
      <c r="O24" s="209">
        <f>SUM(O14:O23)</f>
        <v>0</v>
      </c>
      <c r="P24" s="36">
        <f>SUM(P14:P23)</f>
        <v>0</v>
      </c>
      <c r="Q24" s="15" t="str">
        <f>IF(G24=0,"",P24/O24)</f>
        <v/>
      </c>
      <c r="R24" s="8" t="str">
        <f>IF(G24=0,"",1-O24/J24)</f>
        <v/>
      </c>
      <c r="S24" s="374">
        <f>SUM(S14:S23)</f>
        <v>0</v>
      </c>
      <c r="U24" s="374">
        <f>SUM(U14:U23)</f>
        <v>0</v>
      </c>
    </row>
    <row r="25" spans="1:147" x14ac:dyDescent="0.3">
      <c r="D25" s="7"/>
      <c r="E25" s="7"/>
      <c r="F25" s="8"/>
      <c r="G25" s="9"/>
      <c r="H25" s="9"/>
      <c r="I25" s="31"/>
      <c r="J25" s="36"/>
      <c r="K25" s="209"/>
      <c r="L25" s="209"/>
      <c r="M25" s="36"/>
      <c r="N25" s="33"/>
      <c r="O25" s="209"/>
      <c r="P25" s="36"/>
      <c r="Q25" s="10"/>
      <c r="R25" s="8"/>
    </row>
    <row r="26" spans="1:147" outlineLevel="1" x14ac:dyDescent="0.3">
      <c r="B26" s="3"/>
      <c r="C26" s="3"/>
      <c r="D26" s="5"/>
      <c r="E26" s="5"/>
      <c r="F26" s="5"/>
      <c r="G26" s="6"/>
      <c r="H26" s="118"/>
      <c r="I26" s="34"/>
      <c r="J26" s="38"/>
      <c r="K26" s="210"/>
      <c r="L26" s="210"/>
      <c r="M26" s="38"/>
      <c r="N26" s="34"/>
      <c r="O26" s="210"/>
      <c r="P26" s="38"/>
      <c r="Q26" s="6"/>
      <c r="R26" s="6"/>
    </row>
    <row r="27" spans="1:147" outlineLevel="1" x14ac:dyDescent="0.3">
      <c r="A27" s="12" t="s">
        <v>12</v>
      </c>
      <c r="B27" s="12" t="s">
        <v>55</v>
      </c>
      <c r="C27" s="12"/>
      <c r="D27" s="13" t="s">
        <v>56</v>
      </c>
      <c r="E27" s="13" t="s">
        <v>57</v>
      </c>
      <c r="F27" s="13" t="s">
        <v>7</v>
      </c>
      <c r="G27" s="13" t="s">
        <v>20</v>
      </c>
      <c r="H27" s="119" t="s">
        <v>83</v>
      </c>
      <c r="I27" s="40" t="s">
        <v>10</v>
      </c>
      <c r="J27" s="13" t="s">
        <v>58</v>
      </c>
      <c r="K27" s="206" t="s">
        <v>59</v>
      </c>
      <c r="L27" s="218" t="s">
        <v>31</v>
      </c>
      <c r="M27" s="39" t="s">
        <v>21</v>
      </c>
      <c r="N27" s="35" t="s">
        <v>22</v>
      </c>
      <c r="O27" s="218" t="s">
        <v>60</v>
      </c>
      <c r="P27" s="13" t="s">
        <v>32</v>
      </c>
      <c r="Q27" s="13" t="s">
        <v>23</v>
      </c>
      <c r="R27" s="13" t="s">
        <v>24</v>
      </c>
    </row>
    <row r="28" spans="1:147" outlineLevel="1" x14ac:dyDescent="0.3">
      <c r="A28" s="87"/>
      <c r="B28" s="87"/>
      <c r="C28" s="87"/>
      <c r="D28" s="88"/>
      <c r="E28" s="88"/>
      <c r="F28" s="162"/>
      <c r="G28" s="9" t="str">
        <f t="shared" ref="G28:G34" si="11">IF(ISBLANK(A28),"",NETWORKDAYS(D28,E28)*F28)</f>
        <v/>
      </c>
      <c r="H28" s="120" t="str">
        <f t="shared" ref="H28:H34" si="12">IF(ISBLANK(A28),"",G28*$B$9)</f>
        <v/>
      </c>
      <c r="I28" s="90"/>
      <c r="J28" s="36" t="str">
        <f t="shared" ref="J28:J34" si="13">IF(ISBLANK(A28),"",H28*I28)</f>
        <v/>
      </c>
      <c r="K28" s="211"/>
      <c r="L28" s="219" t="str">
        <f t="shared" ref="L28:L34" si="14">IF(ISBLANK(A28)," ",(K28*G28*$B$9))</f>
        <v xml:space="preserve"> </v>
      </c>
      <c r="M28" s="36" t="str">
        <f>IF(ISBLANK(A28),"",(I28*G28*8)-L28)</f>
        <v/>
      </c>
      <c r="N28" s="90"/>
      <c r="O28" s="209" t="str">
        <f t="shared" ref="O28:O34" si="15">IF(ISBLANK(A28),"",G28*N28*$B$9)</f>
        <v/>
      </c>
      <c r="P28" s="36" t="str">
        <f t="shared" ref="P28:P34" si="16">IF(ISBLANK(A28),"",O28-L28)</f>
        <v/>
      </c>
      <c r="Q28" s="15" t="str">
        <f t="shared" ref="Q28:Q34" si="17">IF(ISBLANK(A28),"",P28/O28)</f>
        <v/>
      </c>
      <c r="R28" s="8" t="str">
        <f t="shared" ref="R28:R34" si="18">IF(ISBLANK(A28),"",1-O28/J28)</f>
        <v/>
      </c>
      <c r="T28" s="376" t="str">
        <f t="shared" ref="T28:T34" si="19">IF(ISBLANK(A28),"",CONCATENATE(C28,"-",$B$5))</f>
        <v/>
      </c>
      <c r="X28" s="240"/>
    </row>
    <row r="29" spans="1:147" outlineLevel="1" x14ac:dyDescent="0.3">
      <c r="A29" s="87"/>
      <c r="B29" s="87"/>
      <c r="C29" s="87"/>
      <c r="D29" s="88"/>
      <c r="E29" s="88"/>
      <c r="F29" s="162"/>
      <c r="G29" s="9" t="str">
        <f t="shared" si="11"/>
        <v/>
      </c>
      <c r="H29" s="120" t="str">
        <f t="shared" si="12"/>
        <v/>
      </c>
      <c r="I29" s="90"/>
      <c r="J29" s="36" t="str">
        <f t="shared" si="13"/>
        <v/>
      </c>
      <c r="K29" s="211"/>
      <c r="L29" s="219" t="str">
        <f t="shared" si="14"/>
        <v xml:space="preserve"> </v>
      </c>
      <c r="M29" s="36" t="str">
        <f t="shared" ref="M29:M34" si="20">IF(ISBLANK(A29),"",J29-L29)</f>
        <v/>
      </c>
      <c r="N29" s="90"/>
      <c r="O29" s="209" t="str">
        <f t="shared" si="15"/>
        <v/>
      </c>
      <c r="P29" s="36" t="str">
        <f t="shared" si="16"/>
        <v/>
      </c>
      <c r="Q29" s="15" t="str">
        <f t="shared" si="17"/>
        <v/>
      </c>
      <c r="R29" s="8" t="str">
        <f t="shared" si="18"/>
        <v/>
      </c>
      <c r="T29" s="376" t="str">
        <f t="shared" si="19"/>
        <v/>
      </c>
    </row>
    <row r="30" spans="1:147" outlineLevel="1" x14ac:dyDescent="0.3">
      <c r="A30" s="87"/>
      <c r="B30" s="87"/>
      <c r="C30" s="87"/>
      <c r="D30" s="88"/>
      <c r="E30" s="88"/>
      <c r="F30" s="162"/>
      <c r="G30" s="9" t="str">
        <f t="shared" si="11"/>
        <v/>
      </c>
      <c r="H30" s="120" t="str">
        <f t="shared" si="12"/>
        <v/>
      </c>
      <c r="I30" s="90"/>
      <c r="J30" s="36" t="str">
        <f t="shared" si="13"/>
        <v/>
      </c>
      <c r="K30" s="211"/>
      <c r="L30" s="219" t="str">
        <f t="shared" si="14"/>
        <v xml:space="preserve"> </v>
      </c>
      <c r="M30" s="36" t="str">
        <f t="shared" si="20"/>
        <v/>
      </c>
      <c r="N30" s="90"/>
      <c r="O30" s="209" t="str">
        <f t="shared" si="15"/>
        <v/>
      </c>
      <c r="P30" s="36" t="str">
        <f t="shared" si="16"/>
        <v/>
      </c>
      <c r="Q30" s="15" t="str">
        <f t="shared" si="17"/>
        <v/>
      </c>
      <c r="R30" s="8" t="str">
        <f t="shared" si="18"/>
        <v/>
      </c>
      <c r="T30" s="376" t="str">
        <f t="shared" si="19"/>
        <v/>
      </c>
    </row>
    <row r="31" spans="1:147" outlineLevel="1" x14ac:dyDescent="0.3">
      <c r="A31" s="87"/>
      <c r="B31" s="87"/>
      <c r="C31" s="87"/>
      <c r="D31" s="88"/>
      <c r="E31" s="88"/>
      <c r="F31" s="162"/>
      <c r="G31" s="9" t="str">
        <f t="shared" si="11"/>
        <v/>
      </c>
      <c r="H31" s="120" t="str">
        <f t="shared" si="12"/>
        <v/>
      </c>
      <c r="I31" s="90"/>
      <c r="J31" s="36" t="str">
        <f t="shared" si="13"/>
        <v/>
      </c>
      <c r="K31" s="211"/>
      <c r="L31" s="219" t="str">
        <f t="shared" si="14"/>
        <v xml:space="preserve"> </v>
      </c>
      <c r="M31" s="36" t="str">
        <f t="shared" si="20"/>
        <v/>
      </c>
      <c r="N31" s="90"/>
      <c r="O31" s="209" t="str">
        <f t="shared" si="15"/>
        <v/>
      </c>
      <c r="P31" s="36" t="str">
        <f t="shared" si="16"/>
        <v/>
      </c>
      <c r="Q31" s="15" t="str">
        <f t="shared" si="17"/>
        <v/>
      </c>
      <c r="R31" s="8" t="str">
        <f t="shared" si="18"/>
        <v/>
      </c>
      <c r="T31" s="376" t="str">
        <f t="shared" si="19"/>
        <v/>
      </c>
    </row>
    <row r="32" spans="1:147" outlineLevel="1" x14ac:dyDescent="0.3">
      <c r="A32" s="87"/>
      <c r="B32" s="87"/>
      <c r="C32" s="87"/>
      <c r="D32" s="88"/>
      <c r="E32" s="88"/>
      <c r="F32" s="162"/>
      <c r="G32" s="9" t="str">
        <f t="shared" si="11"/>
        <v/>
      </c>
      <c r="H32" s="120" t="str">
        <f t="shared" si="12"/>
        <v/>
      </c>
      <c r="I32" s="90"/>
      <c r="J32" s="36" t="str">
        <f t="shared" si="13"/>
        <v/>
      </c>
      <c r="K32" s="211"/>
      <c r="L32" s="219" t="str">
        <f t="shared" si="14"/>
        <v xml:space="preserve"> </v>
      </c>
      <c r="M32" s="36" t="str">
        <f t="shared" si="20"/>
        <v/>
      </c>
      <c r="N32" s="90"/>
      <c r="O32" s="209" t="str">
        <f t="shared" si="15"/>
        <v/>
      </c>
      <c r="P32" s="36" t="str">
        <f t="shared" si="16"/>
        <v/>
      </c>
      <c r="Q32" s="15" t="str">
        <f t="shared" si="17"/>
        <v/>
      </c>
      <c r="R32" s="8" t="str">
        <f t="shared" si="18"/>
        <v/>
      </c>
      <c r="T32" s="376" t="str">
        <f t="shared" si="19"/>
        <v/>
      </c>
    </row>
    <row r="33" spans="1:147" outlineLevel="1" x14ac:dyDescent="0.3">
      <c r="A33" s="87"/>
      <c r="B33" s="87"/>
      <c r="C33" s="87"/>
      <c r="D33" s="88"/>
      <c r="E33" s="88"/>
      <c r="F33" s="162"/>
      <c r="G33" s="9" t="str">
        <f t="shared" si="11"/>
        <v/>
      </c>
      <c r="H33" s="120" t="str">
        <f t="shared" si="12"/>
        <v/>
      </c>
      <c r="I33" s="90"/>
      <c r="J33" s="36" t="str">
        <f t="shared" si="13"/>
        <v/>
      </c>
      <c r="K33" s="211"/>
      <c r="L33" s="219" t="str">
        <f t="shared" si="14"/>
        <v xml:space="preserve"> </v>
      </c>
      <c r="M33" s="36" t="str">
        <f t="shared" si="20"/>
        <v/>
      </c>
      <c r="N33" s="90"/>
      <c r="O33" s="209" t="str">
        <f t="shared" si="15"/>
        <v/>
      </c>
      <c r="P33" s="36" t="str">
        <f t="shared" si="16"/>
        <v/>
      </c>
      <c r="Q33" s="15" t="str">
        <f t="shared" si="17"/>
        <v/>
      </c>
      <c r="R33" s="8" t="str">
        <f t="shared" si="18"/>
        <v/>
      </c>
      <c r="T33" s="376" t="str">
        <f t="shared" si="19"/>
        <v/>
      </c>
    </row>
    <row r="34" spans="1:147" s="11" customFormat="1" ht="14.4" outlineLevel="1" thickBot="1" x14ac:dyDescent="0.35">
      <c r="A34" s="167"/>
      <c r="B34" s="167"/>
      <c r="C34" s="167"/>
      <c r="D34" s="168"/>
      <c r="E34" s="168"/>
      <c r="F34" s="169"/>
      <c r="G34" s="170" t="str">
        <f t="shared" si="11"/>
        <v/>
      </c>
      <c r="H34" s="171" t="str">
        <f t="shared" si="12"/>
        <v/>
      </c>
      <c r="I34" s="175"/>
      <c r="J34" s="82" t="str">
        <f t="shared" si="13"/>
        <v/>
      </c>
      <c r="K34" s="212"/>
      <c r="L34" s="220" t="str">
        <f t="shared" si="14"/>
        <v xml:space="preserve"> </v>
      </c>
      <c r="M34" s="82" t="str">
        <f t="shared" si="20"/>
        <v/>
      </c>
      <c r="N34" s="175"/>
      <c r="O34" s="208" t="str">
        <f t="shared" si="15"/>
        <v/>
      </c>
      <c r="P34" s="82" t="str">
        <f t="shared" si="16"/>
        <v/>
      </c>
      <c r="Q34" s="158" t="str">
        <f t="shared" si="17"/>
        <v/>
      </c>
      <c r="R34" s="173" t="str">
        <f t="shared" si="18"/>
        <v/>
      </c>
      <c r="S34" s="375"/>
      <c r="T34" s="376" t="str">
        <f t="shared" si="19"/>
        <v/>
      </c>
      <c r="U34" s="388"/>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J34" s="41"/>
      <c r="BK34" s="41"/>
      <c r="BL34" s="41"/>
      <c r="BM34" s="41"/>
      <c r="BN34" s="41"/>
      <c r="BO34" s="41"/>
      <c r="BP34" s="41"/>
      <c r="BQ34" s="41"/>
      <c r="BR34" s="41"/>
      <c r="BS34" s="41"/>
      <c r="BT34" s="41"/>
      <c r="BU34" s="41"/>
      <c r="BV34" s="41"/>
      <c r="BW34" s="41"/>
      <c r="BX34" s="41"/>
      <c r="BY34" s="41"/>
      <c r="BZ34" s="41"/>
      <c r="CA34" s="41"/>
      <c r="CB34" s="41"/>
      <c r="CC34" s="41"/>
      <c r="CD34" s="41"/>
      <c r="CE34" s="41"/>
      <c r="CF34" s="41"/>
      <c r="CG34" s="41"/>
      <c r="CH34" s="41"/>
      <c r="CI34" s="41"/>
      <c r="CJ34" s="41"/>
      <c r="CK34" s="41"/>
      <c r="CL34" s="41"/>
      <c r="CM34" s="41"/>
      <c r="CN34" s="41"/>
      <c r="CO34" s="41"/>
      <c r="CP34" s="41"/>
      <c r="CQ34" s="41"/>
      <c r="CR34" s="41"/>
      <c r="CS34" s="41"/>
      <c r="CT34" s="41"/>
      <c r="CU34" s="41"/>
      <c r="CV34" s="41"/>
      <c r="CW34" s="41"/>
      <c r="CX34" s="41"/>
      <c r="CY34" s="41"/>
      <c r="CZ34" s="41"/>
      <c r="DA34" s="41"/>
      <c r="DB34" s="41"/>
      <c r="DC34" s="41"/>
      <c r="DD34" s="41"/>
      <c r="DE34" s="41"/>
      <c r="DF34" s="41"/>
      <c r="DG34" s="41"/>
      <c r="DH34" s="41"/>
      <c r="DI34" s="41"/>
      <c r="DJ34" s="41"/>
      <c r="DK34" s="41"/>
      <c r="DL34" s="41"/>
      <c r="DM34" s="41"/>
      <c r="DN34" s="41"/>
      <c r="DO34" s="41"/>
      <c r="DP34" s="41"/>
      <c r="DQ34" s="41"/>
      <c r="DR34" s="41"/>
      <c r="DS34" s="41"/>
      <c r="DT34" s="41"/>
      <c r="DU34" s="41"/>
      <c r="DV34" s="41"/>
      <c r="DW34" s="41"/>
      <c r="DX34" s="41"/>
      <c r="DY34" s="41"/>
      <c r="DZ34" s="41"/>
      <c r="EA34" s="41"/>
      <c r="EB34" s="41"/>
      <c r="EC34" s="41"/>
      <c r="ED34" s="41"/>
      <c r="EE34" s="41"/>
      <c r="EF34" s="41"/>
      <c r="EG34" s="41"/>
      <c r="EH34" s="41"/>
      <c r="EI34" s="41"/>
      <c r="EJ34" s="41"/>
      <c r="EK34" s="41"/>
      <c r="EL34" s="41"/>
      <c r="EM34" s="41"/>
      <c r="EN34" s="41"/>
      <c r="EO34" s="41"/>
      <c r="EP34" s="41"/>
      <c r="EQ34" s="41"/>
    </row>
    <row r="35" spans="1:147" x14ac:dyDescent="0.3">
      <c r="A35" s="3" t="s">
        <v>13</v>
      </c>
      <c r="G35" s="9">
        <f>SUM(G28:G34)</f>
        <v>0</v>
      </c>
      <c r="H35" s="9">
        <f>SUM(H28:H34)</f>
        <v>0</v>
      </c>
      <c r="I35" s="31"/>
      <c r="J35" s="36">
        <f>SUM(J28:J34)</f>
        <v>0</v>
      </c>
      <c r="K35" s="209"/>
      <c r="L35" s="209">
        <f>SUM(L28:L34)</f>
        <v>0</v>
      </c>
      <c r="M35" s="36">
        <f>SUM(M28:M34)</f>
        <v>0</v>
      </c>
      <c r="N35" s="33"/>
      <c r="O35" s="209">
        <f>SUM(O28:O34)</f>
        <v>0</v>
      </c>
      <c r="P35" s="36">
        <f>SUM(P28:P34)</f>
        <v>0</v>
      </c>
      <c r="Q35" s="15">
        <f>IF(ISBLANK(A35),"",IF(O35&gt;0,P35/O35,0))</f>
        <v>0</v>
      </c>
      <c r="R35" s="8">
        <f>IF(ISBLANK(A35),"",IF(J35&gt;0,1-O35/J35,1))</f>
        <v>1</v>
      </c>
    </row>
    <row r="36" spans="1:147" x14ac:dyDescent="0.3">
      <c r="I36" s="31"/>
      <c r="J36" s="36"/>
      <c r="K36" s="209"/>
      <c r="L36" s="209"/>
      <c r="M36" s="36"/>
      <c r="O36" s="209"/>
      <c r="P36" s="36"/>
    </row>
    <row r="37" spans="1:147" x14ac:dyDescent="0.3">
      <c r="A37" s="3" t="s">
        <v>14</v>
      </c>
      <c r="G37" s="17">
        <f>IF($B$4="Fixed Price",RISK!$L$8*(G24+G35),RISK!$N$8*(G24+G35))</f>
        <v>0</v>
      </c>
      <c r="H37" s="120">
        <f>IF(ISBLANK(B6),0,G37*B9)</f>
        <v>0</v>
      </c>
      <c r="I37" s="33"/>
      <c r="J37" s="51">
        <f>IF($B$4="Fixed Price",RISK!$L$8*(J24+J35),RISK!$N$8*(J24+J35))</f>
        <v>0</v>
      </c>
      <c r="K37" s="209"/>
      <c r="L37" s="51">
        <f>IF($B$4="Fixed Price",RISK!$L$8*(L24+L35),RISK!$N$8*(L24+L35))</f>
        <v>0</v>
      </c>
      <c r="M37" s="51">
        <f>IF($B$4="Fixed Price",RISK!$L$8*(M24+M35),RISK!$N$8*(M24+M35))</f>
        <v>0</v>
      </c>
      <c r="O37" s="51">
        <f>IF($B$4="Fixed Price",RISK!$L$8*(O24+O35),RISK!$N$8*(O24+O35))</f>
        <v>0</v>
      </c>
      <c r="P37" s="51">
        <f>IF($B$4="Fixed Price",RISK!$L$8*(P24+P35),RISK!$N$8*(P24+P35))</f>
        <v>0</v>
      </c>
      <c r="Q37" s="15" t="str">
        <f>IF(G37=0,"",P37/O37)</f>
        <v/>
      </c>
      <c r="R37" s="8" t="str">
        <f>IF(G37=0,"",1-O37/J37)</f>
        <v/>
      </c>
    </row>
    <row r="38" spans="1:147" x14ac:dyDescent="0.3">
      <c r="A38" s="3" t="s">
        <v>173</v>
      </c>
      <c r="G38" s="17">
        <f>IF($B$4="Fixed Price",RISK!$M$8*(G24+G35)+RISK!$O$8*(G24+G35),0)</f>
        <v>0</v>
      </c>
      <c r="H38" s="120">
        <f>IF(ISBLANK(B6),0,G38*B9)</f>
        <v>0</v>
      </c>
      <c r="I38" s="33"/>
      <c r="J38" s="17">
        <f>IF($B$4="Fixed Price",RISK!$M$8*(J24+J35)+RISK!$O$8*(J24+J35),0)</f>
        <v>0</v>
      </c>
      <c r="K38" s="209"/>
      <c r="L38" s="17">
        <f>IF($B$4="Fixed Price",RISK!$M$8*(L24+L35)+RISK!$O$8*(L24+L35),0)</f>
        <v>0</v>
      </c>
      <c r="M38" s="17">
        <f>IF($B$4="Fixed Price",RISK!$M$8*(M24+M35)+RISK!$O$8*(M24+M35),0)</f>
        <v>0</v>
      </c>
      <c r="O38" s="17">
        <f>IF($B$4="Fixed Price",RISK!$M$8*(O24+O35)+RISK!$O$8*(O24+O35),0)</f>
        <v>0</v>
      </c>
      <c r="P38" s="17">
        <f>IF($B$4="Fixed Price",RISK!$M$8*(P24+P35)+RISK!$O$8*(P24+P35),0)</f>
        <v>0</v>
      </c>
      <c r="Q38" s="15" t="str">
        <f>IF(G38=0,"",P38/O38)</f>
        <v/>
      </c>
      <c r="R38" s="8" t="str">
        <f>IF(G38=0,"",1-O38/J38)</f>
        <v/>
      </c>
    </row>
    <row r="39" spans="1:147" x14ac:dyDescent="0.3">
      <c r="A39" s="3" t="s">
        <v>172</v>
      </c>
      <c r="G39" s="17">
        <f>IF($B$4="T&amp;M",RISK!$O$8*(G24+G35),0)</f>
        <v>0</v>
      </c>
      <c r="H39" s="120">
        <f>IF(ISBLANK(B6),0,G39*B9)</f>
        <v>0</v>
      </c>
      <c r="I39" s="33"/>
      <c r="J39" s="17">
        <f>IF($B$4="T&amp;M",RISK!$O$8*(J24+J35),0)</f>
        <v>0</v>
      </c>
      <c r="K39" s="209"/>
      <c r="L39" s="17">
        <f>IF($B$4="T&amp;M",RISK!$O$8*(L24+L35),0)</f>
        <v>0</v>
      </c>
      <c r="M39" s="17">
        <f>IF($B$4="T&amp;M",RISK!$O$8*(M24+M35),0)</f>
        <v>0</v>
      </c>
      <c r="O39" s="17">
        <f>IF($B$4="T&amp;M",RISK!$O$8*(O24+O35),0)</f>
        <v>0</v>
      </c>
      <c r="P39" s="17">
        <f>IF($B$4="T&amp;M",RISK!$O$8*(P24+P35),0)</f>
        <v>0</v>
      </c>
      <c r="Q39" s="15" t="str">
        <f>IF(G39=0,"",P39/O39)</f>
        <v/>
      </c>
      <c r="R39" s="8" t="str">
        <f>IF(G39=0,"",1-O39/J39)</f>
        <v/>
      </c>
    </row>
    <row r="40" spans="1:147" x14ac:dyDescent="0.3">
      <c r="A40" s="3" t="s">
        <v>147</v>
      </c>
      <c r="G40" s="17">
        <f>G24+G35+G37+G38+G39</f>
        <v>0</v>
      </c>
      <c r="H40" s="17">
        <f>H24+H35+H37+H38+H39</f>
        <v>0</v>
      </c>
      <c r="I40" s="33"/>
      <c r="J40" s="17">
        <f>J24+J35+J37+J38+J39</f>
        <v>0</v>
      </c>
      <c r="K40" s="209"/>
      <c r="L40" s="17">
        <f>L24+L35+L37+L38+L39</f>
        <v>0</v>
      </c>
      <c r="M40" s="17">
        <f>M24+M35+M37+M39+M50+M38</f>
        <v>0</v>
      </c>
      <c r="O40" s="17">
        <f>O24+O35+O37+O38+O39</f>
        <v>0</v>
      </c>
      <c r="P40" s="17">
        <f>P24+P35+P37+P39+P50+P38</f>
        <v>0</v>
      </c>
      <c r="Q40" s="15">
        <f>IF(ISBLANK(A40),"",IF(O40&gt;0,P40/O40,0))</f>
        <v>0</v>
      </c>
      <c r="R40" s="8"/>
    </row>
    <row r="41" spans="1:147" x14ac:dyDescent="0.3">
      <c r="A41" s="3"/>
      <c r="G41" s="17"/>
      <c r="H41" s="120"/>
      <c r="I41" s="33"/>
      <c r="J41" s="51"/>
      <c r="K41" s="209"/>
      <c r="L41" s="51"/>
      <c r="M41" s="51"/>
      <c r="O41" s="51"/>
      <c r="P41" s="51"/>
      <c r="Q41" s="15"/>
      <c r="R41" s="8"/>
    </row>
    <row r="42" spans="1:147" hidden="1" outlineLevel="1" x14ac:dyDescent="0.3">
      <c r="A42" s="12" t="s">
        <v>145</v>
      </c>
      <c r="B42" s="12"/>
      <c r="C42" s="12"/>
      <c r="D42" s="13" t="s">
        <v>56</v>
      </c>
      <c r="E42" s="13" t="s">
        <v>57</v>
      </c>
      <c r="F42" s="13" t="s">
        <v>149</v>
      </c>
      <c r="G42" s="13" t="s">
        <v>20</v>
      </c>
      <c r="H42" s="119" t="s">
        <v>83</v>
      </c>
      <c r="I42" s="40" t="s">
        <v>10</v>
      </c>
      <c r="J42" s="13" t="s">
        <v>58</v>
      </c>
      <c r="K42" s="206"/>
      <c r="L42" s="218" t="s">
        <v>31</v>
      </c>
      <c r="M42" s="39" t="s">
        <v>21</v>
      </c>
      <c r="N42" s="35" t="s">
        <v>22</v>
      </c>
      <c r="O42" s="218" t="s">
        <v>60</v>
      </c>
      <c r="P42" s="13" t="s">
        <v>32</v>
      </c>
      <c r="Q42" s="13"/>
      <c r="R42" s="13"/>
    </row>
    <row r="43" spans="1:147" hidden="1" outlineLevel="1" x14ac:dyDescent="0.3">
      <c r="A43" s="160"/>
      <c r="B43" s="160"/>
      <c r="C43" s="160"/>
      <c r="D43" s="161"/>
      <c r="E43" s="161"/>
      <c r="F43" s="162"/>
      <c r="G43" s="163" t="str">
        <f>IF(ISBLANK(A43),"",NETWORKDAYS(D43,E43)*F43)</f>
        <v/>
      </c>
      <c r="H43" s="164" t="str">
        <f>IF(ISBLANK(A43),"",G43*$B$9)</f>
        <v/>
      </c>
      <c r="I43" s="165">
        <v>0</v>
      </c>
      <c r="J43" s="80" t="str">
        <f>IF(ISBLANK(A43),"",H43*I43)</f>
        <v/>
      </c>
      <c r="K43" s="213">
        <v>0</v>
      </c>
      <c r="L43" s="221" t="str">
        <f>IF(ISBLANK(A43)," ",(K43*G43*$B$9))</f>
        <v xml:space="preserve"> </v>
      </c>
      <c r="M43" s="80" t="str">
        <f>IF(ISBLANK(A43),"",(I43*G43*8)-L43)</f>
        <v/>
      </c>
      <c r="N43" s="165">
        <v>0</v>
      </c>
      <c r="O43" s="207" t="str">
        <f>IF(ISBLANK(A43),"",G43*N43*$B$9)</f>
        <v/>
      </c>
      <c r="P43" s="80" t="str">
        <f>IF(ISBLANK(A43),"",O43-L43)</f>
        <v/>
      </c>
      <c r="Q43" s="155"/>
      <c r="R43" s="166"/>
      <c r="S43" s="376"/>
      <c r="T43" s="376" t="str">
        <f>IF(ISBLANK(A43),"",CONCATENATE(C43,"-",$B$5))</f>
        <v/>
      </c>
      <c r="X43" s="240"/>
    </row>
    <row r="44" spans="1:147" hidden="1" outlineLevel="1" x14ac:dyDescent="0.3">
      <c r="A44" s="160"/>
      <c r="B44" s="160"/>
      <c r="C44" s="160"/>
      <c r="D44" s="161"/>
      <c r="E44" s="161"/>
      <c r="F44" s="162"/>
      <c r="G44" s="163" t="str">
        <f>IF(ISBLANK(A44),"",NETWORKDAYS(D44,E44)*F44)</f>
        <v/>
      </c>
      <c r="H44" s="164" t="str">
        <f>IF(ISBLANK(A44),"",G44*$B$9)</f>
        <v/>
      </c>
      <c r="I44" s="165">
        <v>0</v>
      </c>
      <c r="J44" s="80" t="str">
        <f>IF(ISBLANK(A44),"",H44*I44)</f>
        <v/>
      </c>
      <c r="K44" s="213">
        <v>0</v>
      </c>
      <c r="L44" s="221" t="str">
        <f>IF(ISBLANK(A44)," ",(K44*G44*$B$9))</f>
        <v xml:space="preserve"> </v>
      </c>
      <c r="M44" s="80" t="str">
        <f>IF(ISBLANK(A44),"",J44-L44)</f>
        <v/>
      </c>
      <c r="N44" s="165">
        <v>0</v>
      </c>
      <c r="O44" s="207" t="str">
        <f>IF(ISBLANK(A44),"",G44*N44*$B$9)</f>
        <v/>
      </c>
      <c r="P44" s="80" t="str">
        <f>IF(ISBLANK(A44),"",O44-L44)</f>
        <v/>
      </c>
      <c r="Q44" s="155"/>
      <c r="R44" s="166"/>
      <c r="S44" s="376"/>
      <c r="T44" s="376" t="str">
        <f>IF(ISBLANK(A44),"",CONCATENATE(C44,"-",$B$5))</f>
        <v/>
      </c>
    </row>
    <row r="45" spans="1:147" hidden="1" outlineLevel="1" x14ac:dyDescent="0.3">
      <c r="A45" s="160"/>
      <c r="B45" s="160"/>
      <c r="C45" s="160"/>
      <c r="D45" s="161"/>
      <c r="E45" s="161"/>
      <c r="F45" s="162"/>
      <c r="G45" s="163" t="str">
        <f>IF(ISBLANK(A45),"",NETWORKDAYS(D45,E45)*F45)</f>
        <v/>
      </c>
      <c r="H45" s="164" t="str">
        <f>IF(ISBLANK(A45),"",G45*$B$9)</f>
        <v/>
      </c>
      <c r="I45" s="165">
        <v>0</v>
      </c>
      <c r="J45" s="80" t="str">
        <f>IF(ISBLANK(A45),"",H45*I45)</f>
        <v/>
      </c>
      <c r="K45" s="213">
        <v>0</v>
      </c>
      <c r="L45" s="221" t="str">
        <f>IF(ISBLANK(A45)," ",(K45*G45*$B$9))</f>
        <v xml:space="preserve"> </v>
      </c>
      <c r="M45" s="80" t="str">
        <f>IF(ISBLANK(A45),"",J45-L45)</f>
        <v/>
      </c>
      <c r="N45" s="165">
        <v>0</v>
      </c>
      <c r="O45" s="207" t="str">
        <f>IF(ISBLANK(A45),"",G45*N45*$B$9)</f>
        <v/>
      </c>
      <c r="P45" s="80" t="str">
        <f>IF(ISBLANK(A45),"",O45-L45)</f>
        <v/>
      </c>
      <c r="Q45" s="155" t="str">
        <f>IF(ISBLANK(A45),"",P45/O45)</f>
        <v/>
      </c>
      <c r="R45" s="166" t="str">
        <f>IF(ISBLANK(A45),"",1-O45/J45)</f>
        <v/>
      </c>
      <c r="S45" s="376"/>
      <c r="T45" s="376" t="str">
        <f>IF(ISBLANK(A45),"",CONCATENATE(C45,"-",$B$5))</f>
        <v/>
      </c>
    </row>
    <row r="46" spans="1:147" hidden="1" outlineLevel="1" x14ac:dyDescent="0.3">
      <c r="A46" s="160"/>
      <c r="B46" s="160"/>
      <c r="C46" s="160"/>
      <c r="D46" s="161"/>
      <c r="E46" s="161"/>
      <c r="F46" s="162"/>
      <c r="G46" s="163" t="str">
        <f>IF(ISBLANK(A46),"",NETWORKDAYS(D46,E46)*F46)</f>
        <v/>
      </c>
      <c r="H46" s="164" t="str">
        <f>IF(ISBLANK(A46),"",G46*$B$9)</f>
        <v/>
      </c>
      <c r="I46" s="165">
        <v>0</v>
      </c>
      <c r="J46" s="80" t="str">
        <f>IF(ISBLANK(A46),"",H46*I46)</f>
        <v/>
      </c>
      <c r="K46" s="213">
        <v>0</v>
      </c>
      <c r="L46" s="221" t="str">
        <f>IF(ISBLANK(A46)," ",(K46*G46*$B$9))</f>
        <v xml:space="preserve"> </v>
      </c>
      <c r="M46" s="80" t="str">
        <f>IF(ISBLANK(A46),"",J46-L46)</f>
        <v/>
      </c>
      <c r="N46" s="165">
        <v>0</v>
      </c>
      <c r="O46" s="207" t="str">
        <f>IF(ISBLANK(A46),"",G46*N46*$B$9)</f>
        <v/>
      </c>
      <c r="P46" s="80" t="str">
        <f>IF(ISBLANK(A46),"",O46-L46)</f>
        <v/>
      </c>
      <c r="Q46" s="155" t="str">
        <f>IF(ISBLANK(A46),"",P46/O46)</f>
        <v/>
      </c>
      <c r="R46" s="166" t="str">
        <f>IF(ISBLANK(A46),"",1-O46/J46)</f>
        <v/>
      </c>
      <c r="S46" s="376"/>
      <c r="T46" s="376" t="str">
        <f>IF(ISBLANK(A46),"",CONCATENATE(C46,"-",$B$5))</f>
        <v/>
      </c>
    </row>
    <row r="47" spans="1:147" ht="14.4" hidden="1" outlineLevel="1" thickBot="1" x14ac:dyDescent="0.35">
      <c r="A47" s="167"/>
      <c r="B47" s="167"/>
      <c r="C47" s="167"/>
      <c r="D47" s="168"/>
      <c r="E47" s="168"/>
      <c r="F47" s="169"/>
      <c r="G47" s="170" t="str">
        <f>IF(ISBLANK(A47),"",NETWORKDAYS(D47,E47)*F47)</f>
        <v/>
      </c>
      <c r="H47" s="171" t="str">
        <f>IF(ISBLANK(A47),"",G47*$B$9)</f>
        <v/>
      </c>
      <c r="I47" s="172">
        <v>0</v>
      </c>
      <c r="J47" s="82" t="str">
        <f>IF(ISBLANK(A47),"",H47*I47)</f>
        <v/>
      </c>
      <c r="K47" s="214">
        <v>0</v>
      </c>
      <c r="L47" s="220" t="str">
        <f>IF(ISBLANK(A47)," ",(K47*G47*$B$9))</f>
        <v xml:space="preserve"> </v>
      </c>
      <c r="M47" s="82" t="str">
        <f>IF(ISBLANK(A47),"",J47-L47)</f>
        <v/>
      </c>
      <c r="N47" s="172">
        <v>0</v>
      </c>
      <c r="O47" s="208" t="str">
        <f>IF(ISBLANK(A47),"",G47*N47*$B$9)</f>
        <v/>
      </c>
      <c r="P47" s="82" t="str">
        <f>IF(ISBLANK(A47),"",O47-L47)</f>
        <v/>
      </c>
      <c r="Q47" s="158" t="str">
        <f>IF(ISBLANK(A47),"",P47/O47)</f>
        <v/>
      </c>
      <c r="R47" s="173" t="str">
        <f>IF(ISBLANK(A47),"",1-O47/J47)</f>
        <v/>
      </c>
      <c r="S47" s="375"/>
      <c r="T47" s="376" t="str">
        <f>IF(ISBLANK(A47),"",CONCATENATE(C47,"-",$B$5))</f>
        <v/>
      </c>
    </row>
    <row r="48" spans="1:147" hidden="1" x14ac:dyDescent="0.3">
      <c r="A48" s="3" t="s">
        <v>146</v>
      </c>
      <c r="G48" s="17">
        <f>SUM(G43:G47)</f>
        <v>0</v>
      </c>
      <c r="H48" s="17">
        <f>SUM(H43:H47)</f>
        <v>0</v>
      </c>
      <c r="I48" s="33"/>
      <c r="J48" s="51"/>
      <c r="K48" s="209"/>
      <c r="L48" s="51"/>
      <c r="M48" s="51"/>
      <c r="O48" s="51"/>
      <c r="P48" s="51"/>
      <c r="Q48" s="15"/>
      <c r="R48" s="8"/>
    </row>
    <row r="49" spans="1:147" hidden="1" x14ac:dyDescent="0.3">
      <c r="A49" s="3"/>
      <c r="G49" s="17"/>
      <c r="H49" s="120"/>
      <c r="I49" s="33"/>
      <c r="J49" s="123"/>
      <c r="K49" s="209"/>
      <c r="L49" s="51"/>
      <c r="M49" s="51"/>
      <c r="O49" s="123"/>
      <c r="P49" s="51"/>
      <c r="Q49" s="15" t="str">
        <f>IF(G49=0,"",P49/O49)</f>
        <v/>
      </c>
      <c r="R49" s="8" t="str">
        <f>IF(G49=0,"",1-O49/J49)</f>
        <v/>
      </c>
    </row>
    <row r="50" spans="1:147" s="11" customFormat="1" x14ac:dyDescent="0.3">
      <c r="A50" s="12" t="s">
        <v>16</v>
      </c>
      <c r="H50" s="121"/>
      <c r="I50" s="32"/>
      <c r="J50" s="37"/>
      <c r="K50" s="215"/>
      <c r="L50" s="215">
        <f>'Non-Reimbursable Expenses'!B41</f>
        <v>0</v>
      </c>
      <c r="M50" s="37"/>
      <c r="N50" s="32"/>
      <c r="O50" s="215">
        <f>IF($B$4="Fixed Price",L50,0)</f>
        <v>0</v>
      </c>
      <c r="P50" s="37"/>
      <c r="Q50" s="18"/>
      <c r="S50" s="377"/>
      <c r="T50" s="376"/>
      <c r="U50" s="388"/>
      <c r="V50" s="41"/>
      <c r="W50" s="41"/>
      <c r="X50" s="41"/>
      <c r="Y50" s="41"/>
      <c r="Z50" s="41"/>
      <c r="AA50" s="41"/>
      <c r="AB50" s="41"/>
      <c r="AC50" s="41"/>
      <c r="AD50" s="41"/>
      <c r="AE50" s="41"/>
      <c r="AF50" s="41"/>
      <c r="AG50" s="41"/>
      <c r="AH50" s="41"/>
      <c r="AI50" s="41"/>
      <c r="AJ50" s="41"/>
      <c r="AK50" s="41"/>
      <c r="AL50" s="41"/>
      <c r="AM50" s="41"/>
      <c r="AN50" s="41"/>
      <c r="AO50" s="41"/>
      <c r="AP50" s="41"/>
      <c r="AQ50" s="41"/>
      <c r="AR50" s="41"/>
      <c r="AS50" s="41"/>
      <c r="AT50" s="41"/>
      <c r="AU50" s="41"/>
      <c r="AV50" s="41"/>
      <c r="AW50" s="41"/>
      <c r="AX50" s="41"/>
      <c r="AY50" s="41"/>
      <c r="AZ50" s="41"/>
      <c r="BA50" s="41"/>
      <c r="BB50" s="41"/>
      <c r="BC50" s="41"/>
      <c r="BD50" s="41"/>
      <c r="BE50" s="41"/>
      <c r="BF50" s="41"/>
      <c r="BG50" s="41"/>
      <c r="BH50" s="41"/>
      <c r="BI50" s="41"/>
      <c r="BJ50" s="41"/>
      <c r="BK50" s="41"/>
      <c r="BL50" s="41"/>
      <c r="BM50" s="41"/>
      <c r="BN50" s="41"/>
      <c r="BO50" s="41"/>
      <c r="BP50" s="41"/>
      <c r="BQ50" s="41"/>
      <c r="BR50" s="41"/>
      <c r="BS50" s="41"/>
      <c r="BT50" s="41"/>
      <c r="BU50" s="41"/>
      <c r="BV50" s="41"/>
      <c r="BW50" s="41"/>
      <c r="BX50" s="41"/>
      <c r="BY50" s="41"/>
      <c r="BZ50" s="41"/>
      <c r="CA50" s="41"/>
      <c r="CB50" s="41"/>
      <c r="CC50" s="41"/>
      <c r="CD50" s="41"/>
      <c r="CE50" s="41"/>
      <c r="CF50" s="41"/>
      <c r="CG50" s="41"/>
      <c r="CH50" s="41"/>
      <c r="CI50" s="41"/>
      <c r="CJ50" s="41"/>
      <c r="CK50" s="41"/>
      <c r="CL50" s="41"/>
      <c r="CM50" s="41"/>
      <c r="CN50" s="41"/>
      <c r="CO50" s="41"/>
      <c r="CP50" s="41"/>
      <c r="CQ50" s="41"/>
      <c r="CR50" s="41"/>
      <c r="CS50" s="41"/>
      <c r="CT50" s="41"/>
      <c r="CU50" s="41"/>
      <c r="CV50" s="41"/>
      <c r="CW50" s="41"/>
      <c r="CX50" s="41"/>
      <c r="CY50" s="41"/>
      <c r="CZ50" s="41"/>
      <c r="DA50" s="41"/>
      <c r="DB50" s="41"/>
      <c r="DC50" s="41"/>
      <c r="DD50" s="41"/>
      <c r="DE50" s="41"/>
      <c r="DF50" s="41"/>
      <c r="DG50" s="41"/>
      <c r="DH50" s="41"/>
      <c r="DI50" s="41"/>
      <c r="DJ50" s="41"/>
      <c r="DK50" s="41"/>
      <c r="DL50" s="41"/>
      <c r="DM50" s="41"/>
      <c r="DN50" s="41"/>
      <c r="DO50" s="41"/>
      <c r="DP50" s="41"/>
      <c r="DQ50" s="41"/>
      <c r="DR50" s="41"/>
      <c r="DS50" s="41"/>
      <c r="DT50" s="41"/>
      <c r="DU50" s="41"/>
      <c r="DV50" s="41"/>
      <c r="DW50" s="41"/>
      <c r="DX50" s="41"/>
      <c r="DY50" s="41"/>
      <c r="DZ50" s="41"/>
      <c r="EA50" s="41"/>
      <c r="EB50" s="41"/>
      <c r="EC50" s="41"/>
      <c r="ED50" s="41"/>
      <c r="EE50" s="41"/>
      <c r="EF50" s="41"/>
      <c r="EG50" s="41"/>
      <c r="EH50" s="41"/>
      <c r="EI50" s="41"/>
      <c r="EJ50" s="41"/>
      <c r="EK50" s="41"/>
      <c r="EL50" s="41"/>
      <c r="EM50" s="41"/>
      <c r="EN50" s="41"/>
      <c r="EO50" s="41"/>
      <c r="EP50" s="41"/>
      <c r="EQ50" s="41"/>
    </row>
    <row r="51" spans="1:147" ht="15.6" x14ac:dyDescent="0.3">
      <c r="A51" s="14" t="s">
        <v>17</v>
      </c>
      <c r="G51" s="9">
        <f>G40+G48</f>
        <v>0</v>
      </c>
      <c r="H51" s="9">
        <f>H40+H48</f>
        <v>0</v>
      </c>
      <c r="I51" s="31"/>
      <c r="J51" s="36">
        <f>J40</f>
        <v>0</v>
      </c>
      <c r="K51" s="209"/>
      <c r="L51" s="209">
        <f>L40+L50</f>
        <v>0</v>
      </c>
      <c r="M51" s="36">
        <f>M40</f>
        <v>0</v>
      </c>
      <c r="N51" s="33"/>
      <c r="O51" s="209">
        <f>O40+O50</f>
        <v>0</v>
      </c>
      <c r="P51" s="36">
        <f>P40</f>
        <v>0</v>
      </c>
      <c r="Q51" s="15">
        <f>IF(ISBLANK(A51),"",IF(O51&gt;0,P51/O51,0))</f>
        <v>0</v>
      </c>
      <c r="R51" s="8">
        <f>IF(ISBLANK(A51),"",IF(J51&gt;0,1-O51/J51,1))</f>
        <v>1</v>
      </c>
    </row>
    <row r="52" spans="1:147" ht="4.5" customHeight="1" thickBot="1" x14ac:dyDescent="0.35">
      <c r="I52" s="31"/>
      <c r="J52" s="36"/>
      <c r="K52" s="209"/>
      <c r="L52" s="209"/>
      <c r="M52" s="36"/>
      <c r="O52" s="209"/>
      <c r="P52" s="36"/>
    </row>
    <row r="53" spans="1:147" ht="15.75" customHeight="1" thickBot="1" x14ac:dyDescent="0.35">
      <c r="A53" s="64" t="s">
        <v>62</v>
      </c>
      <c r="B53" s="65"/>
      <c r="C53" s="65"/>
      <c r="D53" s="65"/>
      <c r="E53" s="65"/>
      <c r="F53" s="65"/>
      <c r="G53" s="66"/>
      <c r="H53" s="122"/>
      <c r="I53" s="67"/>
      <c r="J53" s="68"/>
      <c r="K53" s="216"/>
      <c r="L53" s="216"/>
      <c r="M53" s="68"/>
      <c r="N53" s="67"/>
      <c r="O53" s="222">
        <f>O51</f>
        <v>0</v>
      </c>
      <c r="P53" s="44">
        <f>O53-L51</f>
        <v>0</v>
      </c>
      <c r="Q53" s="45">
        <f>IF(ISBLANK(A53),"",IF(O53&gt;0,P53/O53,0))</f>
        <v>0</v>
      </c>
      <c r="R53" s="46">
        <f>IF(ISBLANK(A53),"",IF(J51&gt;0,1-O53/J51,1))</f>
        <v>1</v>
      </c>
    </row>
    <row r="54" spans="1:147" ht="6" customHeight="1" x14ac:dyDescent="0.3">
      <c r="I54" s="31"/>
      <c r="J54" s="36"/>
      <c r="K54" s="209"/>
      <c r="L54" s="209"/>
      <c r="M54" s="36"/>
      <c r="O54" s="209"/>
      <c r="P54" s="36"/>
    </row>
    <row r="55" spans="1:147" outlineLevel="1" x14ac:dyDescent="0.3">
      <c r="A55" s="2" t="str">
        <f>IF($B$8="Estimate","Low Estimate","")</f>
        <v/>
      </c>
      <c r="G55" s="9">
        <f>G51*(1-$F$8)</f>
        <v>0</v>
      </c>
      <c r="H55" s="9">
        <f>H51*(1-$F$8)</f>
        <v>0</v>
      </c>
      <c r="I55" s="31"/>
      <c r="J55" s="36">
        <f>J51*(1-$F$8)</f>
        <v>0</v>
      </c>
      <c r="K55" s="209"/>
      <c r="L55" s="209">
        <f>L51*(1-$F$8)</f>
        <v>0</v>
      </c>
      <c r="M55" s="36">
        <f>M51*(1-$F$8)</f>
        <v>0</v>
      </c>
      <c r="N55" s="50"/>
      <c r="O55" s="209">
        <f>O51*(1-$F$8)</f>
        <v>0</v>
      </c>
      <c r="P55" s="36">
        <f>P51*(1-$F$8)</f>
        <v>0</v>
      </c>
      <c r="Q55" s="15">
        <f>IF(ISBLANK(A55),"",IF(O55&gt;0,P55/O55,0))</f>
        <v>0</v>
      </c>
      <c r="R55" s="8"/>
    </row>
    <row r="56" spans="1:147" outlineLevel="1" x14ac:dyDescent="0.3">
      <c r="A56" s="2" t="str">
        <f>IF($B$8="Estimate","High Estimate","")</f>
        <v/>
      </c>
      <c r="G56" s="9">
        <f>G51*(1+$F$9)</f>
        <v>0</v>
      </c>
      <c r="H56" s="9">
        <f>H51*(1+$F$9)</f>
        <v>0</v>
      </c>
      <c r="I56" s="31"/>
      <c r="J56" s="36">
        <f>J51*(1+$F$9)</f>
        <v>0</v>
      </c>
      <c r="K56" s="209"/>
      <c r="L56" s="209">
        <f>L51*(1+$F$9)</f>
        <v>0</v>
      </c>
      <c r="M56" s="36">
        <f>M51*(1+$F$9)</f>
        <v>0</v>
      </c>
      <c r="N56" s="50"/>
      <c r="O56" s="209">
        <f>O51*(1+$F$9)</f>
        <v>0</v>
      </c>
      <c r="P56" s="36">
        <f>P51*(1+$F$9)</f>
        <v>0</v>
      </c>
      <c r="Q56" s="15">
        <f>IF(ISBLANK(A56),"",IF(O56&gt;0,P56/O56,0))</f>
        <v>0</v>
      </c>
      <c r="R56" s="8"/>
    </row>
    <row r="57" spans="1:147" x14ac:dyDescent="0.3">
      <c r="I57" s="31"/>
    </row>
  </sheetData>
  <sheetProtection sheet="1" objects="1" scenarios="1" insertRows="0" sort="0" autoFilter="0" pivotTables="0"/>
  <mergeCells count="1">
    <mergeCell ref="A24:B24"/>
  </mergeCells>
  <dataValidations count="12">
    <dataValidation type="decimal" allowBlank="1" showInputMessage="1" showErrorMessage="1" sqref="F14:F23">
      <formula1>0</formula1>
      <formula2>9</formula2>
    </dataValidation>
    <dataValidation type="list" allowBlank="1" showInputMessage="1" showErrorMessage="1" sqref="C14:C23">
      <formula1>"APAC, EU, NA, SELECT ONE, ERROR"</formula1>
    </dataValidation>
    <dataValidation type="list" allowBlank="1" showInputMessage="1" showErrorMessage="1" sqref="B8">
      <formula1>"Quote, Estimate, Select One"</formula1>
    </dataValidation>
    <dataValidation type="list" allowBlank="1" showInputMessage="1" showErrorMessage="1" sqref="B4">
      <formula1>"T&amp;M, Fixed Price, SELECT ONE"</formula1>
    </dataValidation>
    <dataValidation type="list" showInputMessage="1" showErrorMessage="1" sqref="B10">
      <formula1>"SELECT ONE, APAC, EU, NA"</formula1>
    </dataValidation>
    <dataValidation type="date" operator="greaterThanOrEqual" allowBlank="1" showInputMessage="1" showErrorMessage="1" sqref="D43:D44 D45:E47 D29:E34 D28 D14:D23">
      <formula1>38353</formula1>
    </dataValidation>
    <dataValidation type="whole" showInputMessage="1" showErrorMessage="1" sqref="B9:C9">
      <formula1>8</formula1>
      <formula2>9</formula2>
    </dataValidation>
    <dataValidation type="decimal" allowBlank="1" showInputMessage="1" showErrorMessage="1" sqref="F28:F34">
      <formula1>0</formula1>
      <formula2>5</formula2>
    </dataValidation>
    <dataValidation type="date" operator="greaterThan" allowBlank="1" showInputMessage="1" showErrorMessage="1" sqref="E43:E44 E28 E14:E23">
      <formula1>38353</formula1>
    </dataValidation>
    <dataValidation type="list" showInputMessage="1" showErrorMessage="1" sqref="C4">
      <formula1>"T&amp;M, Fixed Price, SELECT ONE"</formula1>
    </dataValidation>
    <dataValidation type="list" showInputMessage="1" showErrorMessage="1" sqref="C8">
      <formula1>"Quote, Estimate, SELECT ONE"</formula1>
    </dataValidation>
    <dataValidation type="decimal" allowBlank="1" showInputMessage="1" showErrorMessage="1" sqref="F43">
      <formula1>0</formula1>
      <formula2>1</formula2>
    </dataValidation>
  </dataValidations>
  <pageMargins left="0.75" right="0.75" top="1" bottom="1" header="0.5" footer="0.5"/>
  <pageSetup scale="57" fitToHeight="5" orientation="landscape"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gsrates!$A$60:$A$96</xm:f>
          </x14:formula1>
          <xm:sqref>A14:A23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rgb="FF92D050"/>
    <pageSetUpPr fitToPage="1"/>
  </sheetPr>
  <dimension ref="A1:EQ57"/>
  <sheetViews>
    <sheetView workbookViewId="0">
      <pane xSplit="2" ySplit="13" topLeftCell="C14" activePane="bottomRight" state="frozen"/>
      <selection activeCell="A5" sqref="A5:B10"/>
      <selection pane="topRight" activeCell="A5" sqref="A5:B10"/>
      <selection pane="bottomLeft" activeCell="A5" sqref="A5:B10"/>
      <selection pane="bottomRight" activeCell="A15" sqref="A15"/>
    </sheetView>
  </sheetViews>
  <sheetFormatPr defaultColWidth="9.33203125" defaultRowHeight="13.8" outlineLevelRow="1" x14ac:dyDescent="0.3"/>
  <cols>
    <col min="1" max="1" width="30.33203125" style="2" customWidth="1"/>
    <col min="2" max="2" width="15.109375" style="2" bestFit="1" customWidth="1"/>
    <col min="3" max="3" width="15.109375" style="2" hidden="1" customWidth="1"/>
    <col min="4" max="4" width="10.44140625" style="2" customWidth="1"/>
    <col min="5" max="5" width="10.77734375" style="2" customWidth="1"/>
    <col min="6" max="6" width="13" style="2" bestFit="1" customWidth="1"/>
    <col min="7" max="7" width="11" style="2" bestFit="1" customWidth="1"/>
    <col min="8" max="8" width="11" style="116" customWidth="1"/>
    <col min="9" max="9" width="12.77734375" style="2" customWidth="1"/>
    <col min="10" max="10" width="15" style="2" bestFit="1" customWidth="1"/>
    <col min="11" max="11" width="12.33203125" style="203" customWidth="1"/>
    <col min="12" max="12" width="11.44140625" style="203" customWidth="1"/>
    <col min="13" max="13" width="11.44140625" style="2" customWidth="1"/>
    <col min="14" max="14" width="10.77734375" style="31" customWidth="1"/>
    <col min="15" max="15" width="14.109375" style="203" customWidth="1"/>
    <col min="16" max="16" width="11.44140625" style="2" customWidth="1"/>
    <col min="17" max="17" width="10" style="2" customWidth="1"/>
    <col min="18" max="18" width="11.109375" style="2" customWidth="1"/>
    <col min="19" max="19" width="9.33203125" style="378"/>
    <col min="20" max="20" width="9.33203125" style="41" hidden="1" customWidth="1"/>
    <col min="21" max="21" width="9.33203125" style="41"/>
    <col min="22" max="22" width="27.6640625" style="41" bestFit="1" customWidth="1"/>
    <col min="23" max="23" width="12.109375" style="41" customWidth="1"/>
    <col min="24" max="24" width="28.109375" style="41" hidden="1" customWidth="1"/>
    <col min="25" max="147" width="9.33203125" style="41"/>
    <col min="148" max="16384" width="9.33203125" style="2"/>
  </cols>
  <sheetData>
    <row r="1" spans="1:147" x14ac:dyDescent="0.3">
      <c r="A1" s="2" t="s">
        <v>0</v>
      </c>
      <c r="B1" s="139" t="str">
        <f>IF(ISBLANK(Summary!B1)," ",Summary!B1)</f>
        <v>&lt;Enter Account Name&gt;</v>
      </c>
      <c r="C1" s="141"/>
    </row>
    <row r="2" spans="1:147" x14ac:dyDescent="0.3">
      <c r="A2" s="2" t="s">
        <v>164</v>
      </c>
      <c r="B2" s="139" t="str">
        <f>IF(ISBLANK(Summary!B3)," ",Summary!B3)</f>
        <v>NEW ECR</v>
      </c>
      <c r="C2" s="141"/>
      <c r="V2" s="42"/>
      <c r="X2" s="41" t="s">
        <v>99</v>
      </c>
    </row>
    <row r="3" spans="1:147" x14ac:dyDescent="0.3">
      <c r="A3" s="2" t="s">
        <v>2</v>
      </c>
      <c r="B3" s="2" t="s">
        <v>191</v>
      </c>
      <c r="C3" s="127"/>
      <c r="G3" s="127"/>
      <c r="H3" s="223"/>
      <c r="I3" s="127"/>
      <c r="J3" s="127"/>
      <c r="V3" s="42"/>
      <c r="X3" s="41" t="s">
        <v>100</v>
      </c>
    </row>
    <row r="4" spans="1:147" x14ac:dyDescent="0.3">
      <c r="A4" s="2" t="s">
        <v>3</v>
      </c>
      <c r="B4" s="139" t="str">
        <f>IF(ISBLANK(Summary!B5)," ",Summary!B5)</f>
        <v>Fixed Price</v>
      </c>
      <c r="C4" s="142"/>
      <c r="V4" s="42"/>
      <c r="X4" s="41" t="s">
        <v>169</v>
      </c>
    </row>
    <row r="5" spans="1:147" x14ac:dyDescent="0.3">
      <c r="A5" s="2" t="s">
        <v>150</v>
      </c>
      <c r="B5" s="99" t="str">
        <f>IF(ISBLANK(Summary!B6),"ADD on SUMMARY tab",Summary!B6)</f>
        <v>NA</v>
      </c>
      <c r="C5" s="99"/>
      <c r="G5" s="125" t="str">
        <f>IF(AND(O51&gt;0,O53=0),"Enter Total Price in N43"," ")</f>
        <v xml:space="preserve"> </v>
      </c>
      <c r="V5" s="42"/>
      <c r="X5" s="41" t="s">
        <v>101</v>
      </c>
    </row>
    <row r="6" spans="1:147" x14ac:dyDescent="0.3">
      <c r="A6" s="2" t="s">
        <v>4</v>
      </c>
      <c r="B6" s="161">
        <v>43070</v>
      </c>
      <c r="C6" s="143"/>
      <c r="D6" s="4" t="str">
        <f>IF(B6&gt;MIN(D14:D34),"Staffing Starts before this date!",IF(B6&lt;MIN(D14:D34),"No staffing on start date!",""))</f>
        <v/>
      </c>
      <c r="E6"/>
      <c r="F6"/>
      <c r="G6"/>
      <c r="H6" s="117"/>
      <c r="I6"/>
      <c r="J6"/>
      <c r="K6" s="204"/>
      <c r="L6" s="204"/>
      <c r="M6"/>
      <c r="N6" s="50"/>
      <c r="O6" s="204"/>
      <c r="V6" s="42"/>
      <c r="X6" s="41" t="s">
        <v>102</v>
      </c>
    </row>
    <row r="7" spans="1:147" x14ac:dyDescent="0.3">
      <c r="A7" s="2" t="s">
        <v>5</v>
      </c>
      <c r="B7" s="88">
        <f>MAX(E14:E23)</f>
        <v>43435</v>
      </c>
      <c r="C7" s="143"/>
      <c r="D7" s="4" t="str">
        <f>IF(B7&gt;MAX(E14:E34),"Staffing ends before project end date!",IF(B7&lt;MAX(E14:E34),"Staffing continues after end date!",""))</f>
        <v/>
      </c>
      <c r="E7"/>
      <c r="F7"/>
      <c r="G7"/>
      <c r="H7" s="117"/>
      <c r="I7"/>
      <c r="J7"/>
      <c r="K7" s="204"/>
      <c r="L7" s="204"/>
      <c r="M7"/>
      <c r="N7" s="50"/>
      <c r="O7" s="204"/>
      <c r="V7" s="42"/>
      <c r="X7" s="41" t="s">
        <v>103</v>
      </c>
    </row>
    <row r="8" spans="1:147" x14ac:dyDescent="0.3">
      <c r="A8" s="2" t="s">
        <v>6</v>
      </c>
      <c r="B8" s="139" t="str">
        <f>IF(ISBLANK(Summary!B9)," ",Summary!B9)</f>
        <v>Quote</v>
      </c>
      <c r="C8" s="142"/>
      <c r="E8" s="2" t="s">
        <v>160</v>
      </c>
      <c r="F8" s="89">
        <v>0.05</v>
      </c>
      <c r="V8" s="42"/>
      <c r="X8" s="41" t="s">
        <v>151</v>
      </c>
    </row>
    <row r="9" spans="1:147" x14ac:dyDescent="0.3">
      <c r="A9" s="2" t="s">
        <v>84</v>
      </c>
      <c r="B9" s="126">
        <v>8</v>
      </c>
      <c r="C9" s="144"/>
      <c r="E9" s="2" t="s">
        <v>159</v>
      </c>
      <c r="F9" s="89">
        <v>0.2</v>
      </c>
      <c r="V9" s="42"/>
      <c r="X9" s="41" t="s">
        <v>170</v>
      </c>
    </row>
    <row r="10" spans="1:147" x14ac:dyDescent="0.3">
      <c r="A10" s="2" t="s">
        <v>72</v>
      </c>
      <c r="B10" s="154" t="str">
        <f>IF(ISBLANK(Summary!B14),"SELECT ONE",Summary!B14)</f>
        <v>USD</v>
      </c>
      <c r="X10" s="41" t="s">
        <v>104</v>
      </c>
    </row>
    <row r="11" spans="1:147" x14ac:dyDescent="0.3">
      <c r="X11" s="41" t="s">
        <v>105</v>
      </c>
    </row>
    <row r="12" spans="1:147" x14ac:dyDescent="0.3">
      <c r="A12" s="3"/>
      <c r="B12" s="3"/>
      <c r="C12" s="3"/>
      <c r="D12" s="5"/>
      <c r="E12" s="5"/>
      <c r="F12" s="5"/>
      <c r="G12" s="6"/>
      <c r="H12" s="118"/>
      <c r="I12" s="6"/>
      <c r="J12" s="6"/>
      <c r="K12" s="205"/>
      <c r="L12" s="205"/>
      <c r="M12" s="6"/>
      <c r="N12" s="34" t="s">
        <v>85</v>
      </c>
      <c r="O12" s="205"/>
      <c r="P12" s="6"/>
      <c r="Q12" s="6"/>
      <c r="R12" s="6"/>
      <c r="X12" s="41" t="s">
        <v>106</v>
      </c>
    </row>
    <row r="13" spans="1:147" s="3" customFormat="1" x14ac:dyDescent="0.3">
      <c r="A13" s="12" t="s">
        <v>54</v>
      </c>
      <c r="B13" s="12" t="s">
        <v>55</v>
      </c>
      <c r="C13" s="12" t="s">
        <v>96</v>
      </c>
      <c r="D13" s="13" t="s">
        <v>56</v>
      </c>
      <c r="E13" s="13" t="s">
        <v>57</v>
      </c>
      <c r="F13" s="13" t="s">
        <v>7</v>
      </c>
      <c r="G13" s="13" t="s">
        <v>20</v>
      </c>
      <c r="H13" s="119" t="s">
        <v>83</v>
      </c>
      <c r="I13" s="35" t="s">
        <v>10</v>
      </c>
      <c r="J13" s="13" t="s">
        <v>58</v>
      </c>
      <c r="K13" s="206" t="s">
        <v>59</v>
      </c>
      <c r="L13" s="217" t="s">
        <v>31</v>
      </c>
      <c r="M13" s="13" t="s">
        <v>21</v>
      </c>
      <c r="N13" s="35" t="s">
        <v>22</v>
      </c>
      <c r="O13" s="217" t="s">
        <v>60</v>
      </c>
      <c r="P13" s="13" t="s">
        <v>32</v>
      </c>
      <c r="Q13" s="13" t="s">
        <v>23</v>
      </c>
      <c r="R13" s="13" t="s">
        <v>24</v>
      </c>
      <c r="S13" s="379"/>
      <c r="T13" s="240"/>
      <c r="U13" s="240"/>
      <c r="V13" s="240"/>
      <c r="W13" s="240"/>
      <c r="X13" s="41" t="s">
        <v>143</v>
      </c>
      <c r="Y13" s="240"/>
      <c r="Z13" s="240"/>
      <c r="AA13" s="240"/>
      <c r="AB13" s="240"/>
      <c r="AC13" s="240"/>
      <c r="AD13" s="240"/>
      <c r="AE13" s="240"/>
      <c r="AF13" s="240"/>
      <c r="AG13" s="240"/>
      <c r="AH13" s="240"/>
      <c r="AI13" s="240"/>
      <c r="AJ13" s="240"/>
      <c r="AK13" s="240"/>
      <c r="AL13" s="240"/>
      <c r="AM13" s="240"/>
      <c r="AN13" s="240"/>
      <c r="AO13" s="240"/>
      <c r="AP13" s="240"/>
      <c r="AQ13" s="240"/>
      <c r="AR13" s="240"/>
      <c r="AS13" s="240"/>
      <c r="AT13" s="240"/>
      <c r="AU13" s="240"/>
      <c r="AV13" s="240"/>
      <c r="AW13" s="240"/>
      <c r="AX13" s="240"/>
      <c r="AY13" s="240"/>
      <c r="AZ13" s="240"/>
      <c r="BA13" s="240"/>
      <c r="BB13" s="240"/>
      <c r="BC13" s="240"/>
      <c r="BD13" s="240"/>
      <c r="BE13" s="240"/>
      <c r="BF13" s="240"/>
      <c r="BG13" s="240"/>
      <c r="BH13" s="240"/>
      <c r="BI13" s="240"/>
      <c r="BJ13" s="240"/>
      <c r="BK13" s="240"/>
      <c r="BL13" s="240"/>
      <c r="BM13" s="240"/>
      <c r="BN13" s="240"/>
      <c r="BO13" s="240"/>
      <c r="BP13" s="240"/>
      <c r="BQ13" s="240"/>
      <c r="BR13" s="240"/>
      <c r="BS13" s="240"/>
      <c r="BT13" s="240"/>
      <c r="BU13" s="240"/>
      <c r="BV13" s="240"/>
      <c r="BW13" s="240"/>
      <c r="BX13" s="240"/>
      <c r="BY13" s="240"/>
      <c r="BZ13" s="240"/>
      <c r="CA13" s="240"/>
      <c r="CB13" s="240"/>
      <c r="CC13" s="240"/>
      <c r="CD13" s="240"/>
      <c r="CE13" s="240"/>
      <c r="CF13" s="240"/>
      <c r="CG13" s="240"/>
      <c r="CH13" s="240"/>
      <c r="CI13" s="240"/>
      <c r="CJ13" s="240"/>
      <c r="CK13" s="240"/>
      <c r="CL13" s="240"/>
      <c r="CM13" s="240"/>
      <c r="CN13" s="240"/>
      <c r="CO13" s="240"/>
      <c r="CP13" s="240"/>
      <c r="CQ13" s="240"/>
      <c r="CR13" s="240"/>
      <c r="CS13" s="240"/>
      <c r="CT13" s="240"/>
      <c r="CU13" s="240"/>
      <c r="CV13" s="240"/>
      <c r="CW13" s="240"/>
      <c r="CX13" s="240"/>
      <c r="CY13" s="240"/>
      <c r="CZ13" s="240"/>
      <c r="DA13" s="240"/>
      <c r="DB13" s="240"/>
      <c r="DC13" s="240"/>
      <c r="DD13" s="240"/>
      <c r="DE13" s="240"/>
      <c r="DF13" s="240"/>
      <c r="DG13" s="240"/>
      <c r="DH13" s="240"/>
      <c r="DI13" s="240"/>
      <c r="DJ13" s="240"/>
      <c r="DK13" s="240"/>
      <c r="DL13" s="240"/>
      <c r="DM13" s="240"/>
      <c r="DN13" s="240"/>
      <c r="DO13" s="240"/>
      <c r="DP13" s="240"/>
      <c r="DQ13" s="240"/>
      <c r="DR13" s="240"/>
      <c r="DS13" s="240"/>
      <c r="DT13" s="240"/>
      <c r="DU13" s="240"/>
      <c r="DV13" s="240"/>
      <c r="DW13" s="240"/>
      <c r="DX13" s="240"/>
      <c r="DY13" s="240"/>
      <c r="DZ13" s="240"/>
      <c r="EA13" s="240"/>
      <c r="EB13" s="240"/>
      <c r="EC13" s="240"/>
      <c r="ED13" s="240"/>
      <c r="EE13" s="240"/>
      <c r="EF13" s="240"/>
      <c r="EG13" s="240"/>
      <c r="EH13" s="240"/>
      <c r="EI13" s="240"/>
      <c r="EJ13" s="240"/>
      <c r="EK13" s="240"/>
      <c r="EL13" s="240"/>
      <c r="EM13" s="240"/>
      <c r="EN13" s="240"/>
      <c r="EO13" s="240"/>
      <c r="EP13" s="240"/>
      <c r="EQ13" s="240"/>
    </row>
    <row r="14" spans="1:147" outlineLevel="1" x14ac:dyDescent="0.3">
      <c r="A14" s="160" t="s">
        <v>99</v>
      </c>
      <c r="B14" s="160"/>
      <c r="C14" s="87"/>
      <c r="D14" s="161">
        <v>43070</v>
      </c>
      <c r="E14" s="161">
        <v>43435</v>
      </c>
      <c r="F14" s="162">
        <v>0.1</v>
      </c>
      <c r="G14" s="163">
        <f t="shared" ref="G14:G23" si="0">IF(ISBLANK(A14),"",NETWORKDAYS(D14,E14)*F14)</f>
        <v>26.1</v>
      </c>
      <c r="H14" s="164">
        <f t="shared" ref="H14:H23" si="1">IF(ISBLANK(A14),"",G14*$B$9)</f>
        <v>208.8</v>
      </c>
      <c r="I14" s="176">
        <f>IF(ISBLANK(A14),"",VLOOKUP(A14,gsrates!$A$3:$AK$38,VLOOKUP($B$5,gsrates!$A$41:$C$58,2,FALSE),FALSE))</f>
        <v>330</v>
      </c>
      <c r="J14" s="80">
        <f t="shared" ref="J14:J23" si="2">IF(ISBLANK(A14),"",H14*I14)</f>
        <v>68904</v>
      </c>
      <c r="K14" s="207">
        <f>IF(ISBLANK(A14),"",VLOOKUP(A14,gsrates!$A$3:$AK$38,VLOOKUP($B$5,gsrates!$A$41:$C$58,3,FALSE),FALSE))</f>
        <v>162</v>
      </c>
      <c r="L14" s="207">
        <f t="shared" ref="L14:L23" si="3">IF(ISBLANK(A14),"",K14*G14*8)</f>
        <v>33825.599999999999</v>
      </c>
      <c r="M14" s="80">
        <f t="shared" ref="M14:M23" si="4">IF(ISBLANK(A14),"",J14-L14)</f>
        <v>35078.400000000001</v>
      </c>
      <c r="N14" s="177">
        <v>50</v>
      </c>
      <c r="O14" s="207">
        <f t="shared" ref="O14:O23" si="5">IF(ISBLANK(A14),"",G14*N14*$B$9)</f>
        <v>10440</v>
      </c>
      <c r="P14" s="80">
        <f t="shared" ref="P14:P23" si="6">IF(ISBLANK(A14),"",O14-L14)</f>
        <v>-23385.599999999999</v>
      </c>
      <c r="Q14" s="155">
        <f t="shared" ref="Q14:Q23" si="7">IF(ISBLANK(A14),"",P14/O14)</f>
        <v>-2.2399999999999998</v>
      </c>
      <c r="R14" s="166">
        <f t="shared" ref="R14:R23" si="8">IF(ISBLANK(A14),"",1-O14/J14)</f>
        <v>0.84848484848484851</v>
      </c>
      <c r="S14" s="380">
        <f>IF(ISBLANK(A14),"",VLOOKUP(A14,gsrates!$A$3:$AL$38,38,FALSE))</f>
        <v>0</v>
      </c>
      <c r="T14" s="41" t="str">
        <f t="shared" ref="T14:T23" si="9">IF(ISBLANK(A14),"",CONCATENATE(C14,"-",$B$5))</f>
        <v>-NA</v>
      </c>
      <c r="U14" s="388">
        <f>IF(S14=1,H14,0)</f>
        <v>0</v>
      </c>
      <c r="X14" s="41" t="s">
        <v>162</v>
      </c>
    </row>
    <row r="15" spans="1:147" outlineLevel="1" x14ac:dyDescent="0.3">
      <c r="A15" s="160" t="s">
        <v>248</v>
      </c>
      <c r="B15" s="160"/>
      <c r="C15" s="87"/>
      <c r="D15" s="161">
        <v>43070</v>
      </c>
      <c r="E15" s="161">
        <v>43435</v>
      </c>
      <c r="F15" s="162">
        <v>0.9</v>
      </c>
      <c r="G15" s="163">
        <f t="shared" si="0"/>
        <v>234.9</v>
      </c>
      <c r="H15" s="164">
        <f t="shared" si="1"/>
        <v>1879.2</v>
      </c>
      <c r="I15" s="176">
        <f>IF(ISBLANK(A15),"",VLOOKUP(A15,gsrates!$A$3:$AK$38,VLOOKUP($B$5,gsrates!$A$41:$C$58,2,FALSE),FALSE))</f>
        <v>305</v>
      </c>
      <c r="J15" s="80">
        <f t="shared" si="2"/>
        <v>573156</v>
      </c>
      <c r="K15" s="207">
        <f>IF(ISBLANK(A15),"",VLOOKUP(A15,gsrates!$A$3:$AK$38,VLOOKUP($B$5,gsrates!$A$41:$C$58,3,FALSE),FALSE))</f>
        <v>109</v>
      </c>
      <c r="L15" s="207">
        <f t="shared" si="3"/>
        <v>204832.80000000002</v>
      </c>
      <c r="M15" s="80">
        <f t="shared" si="4"/>
        <v>368323.19999999995</v>
      </c>
      <c r="N15" s="177">
        <v>50</v>
      </c>
      <c r="O15" s="207">
        <f t="shared" si="5"/>
        <v>93960</v>
      </c>
      <c r="P15" s="80">
        <f t="shared" si="6"/>
        <v>-110872.80000000002</v>
      </c>
      <c r="Q15" s="155">
        <f t="shared" si="7"/>
        <v>-1.1800000000000002</v>
      </c>
      <c r="R15" s="166">
        <f t="shared" si="8"/>
        <v>0.83606557377049184</v>
      </c>
      <c r="S15" s="380">
        <f>IF(ISBLANK(A15),"",VLOOKUP(A15,gsrates!$A$3:$AL$38,38,FALSE))</f>
        <v>0</v>
      </c>
      <c r="T15" s="41" t="str">
        <f t="shared" si="9"/>
        <v>-NA</v>
      </c>
      <c r="U15" s="388">
        <f t="shared" ref="U15:U23" si="10">IF(S15=1,H15,0)</f>
        <v>0</v>
      </c>
    </row>
    <row r="16" spans="1:147" outlineLevel="1" x14ac:dyDescent="0.3">
      <c r="A16" s="160"/>
      <c r="B16" s="160"/>
      <c r="C16" s="87"/>
      <c r="D16" s="161"/>
      <c r="E16" s="161"/>
      <c r="F16" s="162"/>
      <c r="G16" s="163" t="str">
        <f t="shared" si="0"/>
        <v/>
      </c>
      <c r="H16" s="164" t="str">
        <f t="shared" si="1"/>
        <v/>
      </c>
      <c r="I16" s="176" t="str">
        <f>IF(ISBLANK(A16),"",VLOOKUP(A16,gsrates!$A$3:$AK$38,VLOOKUP($B$5,gsrates!$A$41:$C$58,2,FALSE),FALSE))</f>
        <v/>
      </c>
      <c r="J16" s="80" t="str">
        <f t="shared" si="2"/>
        <v/>
      </c>
      <c r="K16" s="207" t="str">
        <f>IF(ISBLANK(A16),"",VLOOKUP(A16,gsrates!$A$3:$AK$38,VLOOKUP($B$5,gsrates!$A$41:$C$58,3,FALSE),FALSE))</f>
        <v/>
      </c>
      <c r="L16" s="207" t="str">
        <f t="shared" si="3"/>
        <v/>
      </c>
      <c r="M16" s="80" t="str">
        <f t="shared" si="4"/>
        <v/>
      </c>
      <c r="N16" s="177"/>
      <c r="O16" s="207" t="str">
        <f t="shared" si="5"/>
        <v/>
      </c>
      <c r="P16" s="80" t="str">
        <f t="shared" si="6"/>
        <v/>
      </c>
      <c r="Q16" s="155" t="str">
        <f t="shared" si="7"/>
        <v/>
      </c>
      <c r="R16" s="166" t="str">
        <f t="shared" si="8"/>
        <v/>
      </c>
      <c r="S16" s="380" t="str">
        <f>IF(ISBLANK(A16),"",VLOOKUP(A16,gsrates!$A$3:$AL$38,38,FALSE))</f>
        <v/>
      </c>
      <c r="T16" s="41" t="str">
        <f t="shared" si="9"/>
        <v/>
      </c>
      <c r="U16" s="388">
        <f t="shared" si="10"/>
        <v>0</v>
      </c>
    </row>
    <row r="17" spans="1:147" outlineLevel="1" x14ac:dyDescent="0.3">
      <c r="A17" s="160"/>
      <c r="B17" s="160"/>
      <c r="C17" s="87"/>
      <c r="D17" s="161"/>
      <c r="E17" s="161"/>
      <c r="F17" s="162"/>
      <c r="G17" s="163" t="str">
        <f t="shared" si="0"/>
        <v/>
      </c>
      <c r="H17" s="164" t="str">
        <f t="shared" si="1"/>
        <v/>
      </c>
      <c r="I17" s="176" t="str">
        <f>IF(ISBLANK(A17),"",VLOOKUP(A17,gsrates!$A$3:$AK$38,VLOOKUP($B$5,gsrates!$A$41:$C$58,2,FALSE),FALSE))</f>
        <v/>
      </c>
      <c r="J17" s="80" t="str">
        <f t="shared" si="2"/>
        <v/>
      </c>
      <c r="K17" s="207" t="str">
        <f>IF(ISBLANK(A17),"",VLOOKUP(A17,gsrates!$A$3:$AK$38,VLOOKUP($B$5,gsrates!$A$41:$C$58,3,FALSE),FALSE))</f>
        <v/>
      </c>
      <c r="L17" s="207" t="str">
        <f t="shared" si="3"/>
        <v/>
      </c>
      <c r="M17" s="80" t="str">
        <f t="shared" si="4"/>
        <v/>
      </c>
      <c r="N17" s="177"/>
      <c r="O17" s="207" t="str">
        <f t="shared" si="5"/>
        <v/>
      </c>
      <c r="P17" s="80" t="str">
        <f t="shared" si="6"/>
        <v/>
      </c>
      <c r="Q17" s="155" t="str">
        <f t="shared" si="7"/>
        <v/>
      </c>
      <c r="R17" s="166" t="str">
        <f t="shared" si="8"/>
        <v/>
      </c>
      <c r="S17" s="380" t="str">
        <f>IF(ISBLANK(A17),"",VLOOKUP(A17,gsrates!$A$3:$AL$38,38,FALSE))</f>
        <v/>
      </c>
      <c r="T17" s="41" t="str">
        <f t="shared" si="9"/>
        <v/>
      </c>
      <c r="U17" s="388">
        <f t="shared" si="10"/>
        <v>0</v>
      </c>
    </row>
    <row r="18" spans="1:147" outlineLevel="1" x14ac:dyDescent="0.3">
      <c r="A18" s="160"/>
      <c r="B18" s="160"/>
      <c r="C18" s="87"/>
      <c r="D18" s="161"/>
      <c r="E18" s="161"/>
      <c r="F18" s="162"/>
      <c r="G18" s="163" t="str">
        <f t="shared" si="0"/>
        <v/>
      </c>
      <c r="H18" s="164" t="str">
        <f t="shared" si="1"/>
        <v/>
      </c>
      <c r="I18" s="176" t="str">
        <f>IF(ISBLANK(A18),"",VLOOKUP(A18,gsrates!$A$3:$AK$38,VLOOKUP($B$5,gsrates!$A$41:$C$58,2,FALSE),FALSE))</f>
        <v/>
      </c>
      <c r="J18" s="80" t="str">
        <f t="shared" si="2"/>
        <v/>
      </c>
      <c r="K18" s="207" t="str">
        <f>IF(ISBLANK(A18),"",VLOOKUP(A18,gsrates!$A$3:$AK$38,VLOOKUP($B$5,gsrates!$A$41:$C$58,3,FALSE),FALSE))</f>
        <v/>
      </c>
      <c r="L18" s="207" t="str">
        <f t="shared" si="3"/>
        <v/>
      </c>
      <c r="M18" s="80" t="str">
        <f t="shared" si="4"/>
        <v/>
      </c>
      <c r="N18" s="177"/>
      <c r="O18" s="207" t="str">
        <f t="shared" si="5"/>
        <v/>
      </c>
      <c r="P18" s="80" t="str">
        <f t="shared" si="6"/>
        <v/>
      </c>
      <c r="Q18" s="155" t="str">
        <f t="shared" si="7"/>
        <v/>
      </c>
      <c r="R18" s="166" t="str">
        <f t="shared" si="8"/>
        <v/>
      </c>
      <c r="S18" s="380" t="str">
        <f>IF(ISBLANK(A18),"",VLOOKUP(A18,gsrates!$A$3:$AL$38,38,FALSE))</f>
        <v/>
      </c>
      <c r="T18" s="41" t="str">
        <f t="shared" si="9"/>
        <v/>
      </c>
      <c r="U18" s="388">
        <f t="shared" si="10"/>
        <v>0</v>
      </c>
    </row>
    <row r="19" spans="1:147" outlineLevel="1" x14ac:dyDescent="0.3">
      <c r="A19" s="160"/>
      <c r="B19" s="160"/>
      <c r="C19" s="87"/>
      <c r="D19" s="161"/>
      <c r="E19" s="161"/>
      <c r="F19" s="162"/>
      <c r="G19" s="163" t="str">
        <f t="shared" si="0"/>
        <v/>
      </c>
      <c r="H19" s="164" t="str">
        <f t="shared" si="1"/>
        <v/>
      </c>
      <c r="I19" s="176" t="str">
        <f>IF(ISBLANK(A19),"",VLOOKUP(A19,gsrates!$A$3:$AK$38,VLOOKUP($B$5,gsrates!$A$41:$C$58,2,FALSE),FALSE))</f>
        <v/>
      </c>
      <c r="J19" s="80" t="str">
        <f t="shared" si="2"/>
        <v/>
      </c>
      <c r="K19" s="207" t="str">
        <f>IF(ISBLANK(A19),"",VLOOKUP(A19,gsrates!$A$3:$AK$38,VLOOKUP($B$5,gsrates!$A$41:$C$58,3,FALSE),FALSE))</f>
        <v/>
      </c>
      <c r="L19" s="207" t="str">
        <f t="shared" si="3"/>
        <v/>
      </c>
      <c r="M19" s="80" t="str">
        <f t="shared" si="4"/>
        <v/>
      </c>
      <c r="N19" s="177"/>
      <c r="O19" s="207" t="str">
        <f t="shared" si="5"/>
        <v/>
      </c>
      <c r="P19" s="80" t="str">
        <f t="shared" si="6"/>
        <v/>
      </c>
      <c r="Q19" s="155" t="str">
        <f t="shared" si="7"/>
        <v/>
      </c>
      <c r="R19" s="166" t="str">
        <f t="shared" si="8"/>
        <v/>
      </c>
      <c r="S19" s="380" t="str">
        <f>IF(ISBLANK(A19),"",VLOOKUP(A19,gsrates!$A$3:$AL$38,38,FALSE))</f>
        <v/>
      </c>
      <c r="T19" s="41" t="str">
        <f t="shared" si="9"/>
        <v/>
      </c>
      <c r="U19" s="388">
        <f t="shared" si="10"/>
        <v>0</v>
      </c>
    </row>
    <row r="20" spans="1:147" outlineLevel="1" x14ac:dyDescent="0.3">
      <c r="A20" s="160"/>
      <c r="B20" s="160"/>
      <c r="C20" s="87"/>
      <c r="D20" s="161"/>
      <c r="E20" s="161"/>
      <c r="F20" s="162"/>
      <c r="G20" s="163" t="str">
        <f t="shared" si="0"/>
        <v/>
      </c>
      <c r="H20" s="164" t="str">
        <f t="shared" si="1"/>
        <v/>
      </c>
      <c r="I20" s="176" t="str">
        <f>IF(ISBLANK(A20),"",VLOOKUP(A20,gsrates!$A$3:$AK$38,VLOOKUP($B$5,gsrates!$A$41:$C$58,2,FALSE),FALSE))</f>
        <v/>
      </c>
      <c r="J20" s="80" t="str">
        <f t="shared" si="2"/>
        <v/>
      </c>
      <c r="K20" s="207" t="str">
        <f>IF(ISBLANK(A20),"",VLOOKUP(A20,gsrates!$A$3:$AK$38,VLOOKUP($B$5,gsrates!$A$41:$C$58,3,FALSE),FALSE))</f>
        <v/>
      </c>
      <c r="L20" s="207" t="str">
        <f t="shared" si="3"/>
        <v/>
      </c>
      <c r="M20" s="80" t="str">
        <f t="shared" si="4"/>
        <v/>
      </c>
      <c r="N20" s="177"/>
      <c r="O20" s="207" t="str">
        <f t="shared" si="5"/>
        <v/>
      </c>
      <c r="P20" s="80" t="str">
        <f t="shared" si="6"/>
        <v/>
      </c>
      <c r="Q20" s="155" t="str">
        <f t="shared" si="7"/>
        <v/>
      </c>
      <c r="R20" s="166" t="str">
        <f t="shared" si="8"/>
        <v/>
      </c>
      <c r="S20" s="380" t="str">
        <f>IF(ISBLANK(A20),"",VLOOKUP(A20,gsrates!$A$3:$AL$38,38,FALSE))</f>
        <v/>
      </c>
      <c r="T20" s="41" t="str">
        <f t="shared" si="9"/>
        <v/>
      </c>
      <c r="U20" s="388">
        <f t="shared" si="10"/>
        <v>0</v>
      </c>
    </row>
    <row r="21" spans="1:147" outlineLevel="1" x14ac:dyDescent="0.3">
      <c r="A21" s="160"/>
      <c r="B21" s="160"/>
      <c r="C21" s="87"/>
      <c r="D21" s="161"/>
      <c r="E21" s="161"/>
      <c r="F21" s="162"/>
      <c r="G21" s="163" t="str">
        <f t="shared" si="0"/>
        <v/>
      </c>
      <c r="H21" s="164" t="str">
        <f t="shared" si="1"/>
        <v/>
      </c>
      <c r="I21" s="176" t="str">
        <f>IF(ISBLANK(A21),"",VLOOKUP(A21,gsrates!$A$3:$AK$38,VLOOKUP($B$5,gsrates!$A$41:$C$58,2,FALSE),FALSE))</f>
        <v/>
      </c>
      <c r="J21" s="80" t="str">
        <f t="shared" si="2"/>
        <v/>
      </c>
      <c r="K21" s="207" t="str">
        <f>IF(ISBLANK(A21),"",VLOOKUP(A21,gsrates!$A$3:$AK$38,VLOOKUP($B$5,gsrates!$A$41:$C$58,3,FALSE),FALSE))</f>
        <v/>
      </c>
      <c r="L21" s="207" t="str">
        <f t="shared" si="3"/>
        <v/>
      </c>
      <c r="M21" s="80" t="str">
        <f t="shared" si="4"/>
        <v/>
      </c>
      <c r="N21" s="177">
        <v>0</v>
      </c>
      <c r="O21" s="207" t="str">
        <f t="shared" si="5"/>
        <v/>
      </c>
      <c r="P21" s="80" t="str">
        <f t="shared" si="6"/>
        <v/>
      </c>
      <c r="Q21" s="155" t="str">
        <f t="shared" si="7"/>
        <v/>
      </c>
      <c r="R21" s="166" t="str">
        <f t="shared" si="8"/>
        <v/>
      </c>
      <c r="S21" s="380" t="str">
        <f>IF(ISBLANK(A21),"",VLOOKUP(A21,gsrates!$A$3:$AL$38,38,FALSE))</f>
        <v/>
      </c>
      <c r="T21" s="41" t="str">
        <f t="shared" si="9"/>
        <v/>
      </c>
      <c r="U21" s="388">
        <f t="shared" si="10"/>
        <v>0</v>
      </c>
    </row>
    <row r="22" spans="1:147" outlineLevel="1" x14ac:dyDescent="0.3">
      <c r="A22" s="160"/>
      <c r="B22" s="160"/>
      <c r="C22" s="87"/>
      <c r="D22" s="161"/>
      <c r="E22" s="161"/>
      <c r="F22" s="162"/>
      <c r="G22" s="163" t="str">
        <f t="shared" si="0"/>
        <v/>
      </c>
      <c r="H22" s="164" t="str">
        <f t="shared" si="1"/>
        <v/>
      </c>
      <c r="I22" s="176" t="str">
        <f>IF(ISBLANK(A22),"",VLOOKUP(A22,gsrates!$A$3:$AK$38,VLOOKUP($B$5,gsrates!$A$41:$C$58,2,FALSE),FALSE))</f>
        <v/>
      </c>
      <c r="J22" s="80" t="str">
        <f t="shared" si="2"/>
        <v/>
      </c>
      <c r="K22" s="207" t="str">
        <f>IF(ISBLANK(A22),"",VLOOKUP(A22,gsrates!$A$3:$AK$38,VLOOKUP($B$5,gsrates!$A$41:$C$58,3,FALSE),FALSE))</f>
        <v/>
      </c>
      <c r="L22" s="207" t="str">
        <f t="shared" si="3"/>
        <v/>
      </c>
      <c r="M22" s="80" t="str">
        <f t="shared" si="4"/>
        <v/>
      </c>
      <c r="N22" s="177">
        <v>0</v>
      </c>
      <c r="O22" s="207" t="str">
        <f t="shared" si="5"/>
        <v/>
      </c>
      <c r="P22" s="80" t="str">
        <f t="shared" si="6"/>
        <v/>
      </c>
      <c r="Q22" s="155" t="str">
        <f t="shared" si="7"/>
        <v/>
      </c>
      <c r="R22" s="166" t="str">
        <f t="shared" si="8"/>
        <v/>
      </c>
      <c r="S22" s="380" t="str">
        <f>IF(ISBLANK(A22),"",VLOOKUP(A22,gsrates!$A$3:$AL$38,38,FALSE))</f>
        <v/>
      </c>
      <c r="T22" s="41" t="str">
        <f t="shared" si="9"/>
        <v/>
      </c>
      <c r="U22" s="388">
        <f t="shared" si="10"/>
        <v>0</v>
      </c>
    </row>
    <row r="23" spans="1:147" s="11" customFormat="1" ht="14.4" outlineLevel="1" thickBot="1" x14ac:dyDescent="0.35">
      <c r="A23" s="167"/>
      <c r="B23" s="167"/>
      <c r="C23" s="167"/>
      <c r="D23" s="168"/>
      <c r="E23" s="168"/>
      <c r="F23" s="169"/>
      <c r="G23" s="170" t="str">
        <f t="shared" si="0"/>
        <v/>
      </c>
      <c r="H23" s="171" t="str">
        <f t="shared" si="1"/>
        <v/>
      </c>
      <c r="I23" s="178" t="str">
        <f>IF(ISBLANK(A23),"",VLOOKUP(A23,gsrates!$A$3:$AK$38,VLOOKUP($B$5,gsrates!$A$41:$C$58,2,FALSE),FALSE))</f>
        <v/>
      </c>
      <c r="J23" s="82" t="str">
        <f t="shared" si="2"/>
        <v/>
      </c>
      <c r="K23" s="208" t="str">
        <f>IF(ISBLANK(A23),"",VLOOKUP(A23,gsrates!$A$3:$AK$38,VLOOKUP($B$5,gsrates!$A$41:$C$58,3,FALSE),FALSE))</f>
        <v/>
      </c>
      <c r="L23" s="208" t="str">
        <f t="shared" si="3"/>
        <v/>
      </c>
      <c r="M23" s="82" t="str">
        <f t="shared" si="4"/>
        <v/>
      </c>
      <c r="N23" s="175">
        <v>0</v>
      </c>
      <c r="O23" s="208" t="str">
        <f t="shared" si="5"/>
        <v/>
      </c>
      <c r="P23" s="82" t="str">
        <f t="shared" si="6"/>
        <v/>
      </c>
      <c r="Q23" s="158" t="str">
        <f t="shared" si="7"/>
        <v/>
      </c>
      <c r="R23" s="173" t="str">
        <f t="shared" si="8"/>
        <v/>
      </c>
      <c r="S23" s="380" t="str">
        <f>IF(ISBLANK(A23),"",VLOOKUP(A23,gsrates!$A$3:$AL$38,38,FALSE))</f>
        <v/>
      </c>
      <c r="T23" s="41" t="str">
        <f t="shared" si="9"/>
        <v/>
      </c>
      <c r="U23" s="388">
        <f t="shared" si="10"/>
        <v>0</v>
      </c>
      <c r="V23" s="41"/>
      <c r="W23" s="41"/>
      <c r="X23" s="41"/>
      <c r="Y23" s="41"/>
      <c r="Z23" s="41"/>
      <c r="AA23" s="41"/>
      <c r="AB23" s="41"/>
      <c r="AC23" s="41"/>
      <c r="AD23" s="41"/>
      <c r="AE23" s="41"/>
      <c r="AF23" s="41"/>
      <c r="AG23" s="41"/>
      <c r="AH23" s="41"/>
      <c r="AI23" s="41"/>
      <c r="AJ23" s="41"/>
      <c r="AK23" s="41"/>
      <c r="AL23" s="41"/>
      <c r="AM23" s="41"/>
      <c r="AN23" s="41"/>
      <c r="AO23" s="41"/>
      <c r="AP23" s="41"/>
      <c r="AQ23" s="41"/>
      <c r="AR23" s="41"/>
      <c r="AS23" s="41"/>
      <c r="AT23" s="41"/>
      <c r="AU23" s="41"/>
      <c r="AV23" s="41"/>
      <c r="AW23" s="41"/>
      <c r="AX23" s="41"/>
      <c r="AY23" s="41"/>
      <c r="AZ23" s="41"/>
      <c r="BA23" s="41"/>
      <c r="BB23" s="41"/>
      <c r="BC23" s="41"/>
      <c r="BD23" s="41"/>
      <c r="BE23" s="41"/>
      <c r="BF23" s="41"/>
      <c r="BG23" s="41"/>
      <c r="BH23" s="41"/>
      <c r="BI23" s="41"/>
      <c r="BJ23" s="41"/>
      <c r="BK23" s="41"/>
      <c r="BL23" s="41"/>
      <c r="BM23" s="41"/>
      <c r="BN23" s="41"/>
      <c r="BO23" s="41"/>
      <c r="BP23" s="41"/>
      <c r="BQ23" s="41"/>
      <c r="BR23" s="41"/>
      <c r="BS23" s="41"/>
      <c r="BT23" s="41"/>
      <c r="BU23" s="41"/>
      <c r="BV23" s="41"/>
      <c r="BW23" s="41"/>
      <c r="BX23" s="41"/>
      <c r="BY23" s="41"/>
      <c r="BZ23" s="41"/>
      <c r="CA23" s="41"/>
      <c r="CB23" s="41"/>
      <c r="CC23" s="41"/>
      <c r="CD23" s="41"/>
      <c r="CE23" s="41"/>
      <c r="CF23" s="41"/>
      <c r="CG23" s="41"/>
      <c r="CH23" s="41"/>
      <c r="CI23" s="41"/>
      <c r="CJ23" s="41"/>
      <c r="CK23" s="41"/>
      <c r="CL23" s="41"/>
      <c r="CM23" s="41"/>
      <c r="CN23" s="41"/>
      <c r="CO23" s="41"/>
      <c r="CP23" s="41"/>
      <c r="CQ23" s="41"/>
      <c r="CR23" s="41"/>
      <c r="CS23" s="41"/>
      <c r="CT23" s="41"/>
      <c r="CU23" s="41"/>
      <c r="CV23" s="41"/>
      <c r="CW23" s="41"/>
      <c r="CX23" s="41"/>
      <c r="CY23" s="41"/>
      <c r="CZ23" s="41"/>
      <c r="DA23" s="41"/>
      <c r="DB23" s="41"/>
      <c r="DC23" s="41"/>
      <c r="DD23" s="41"/>
      <c r="DE23" s="41"/>
      <c r="DF23" s="41"/>
      <c r="DG23" s="41"/>
      <c r="DH23" s="41"/>
      <c r="DI23" s="41"/>
      <c r="DJ23" s="41"/>
      <c r="DK23" s="41"/>
      <c r="DL23" s="41"/>
      <c r="DM23" s="41"/>
      <c r="DN23" s="41"/>
      <c r="DO23" s="41"/>
      <c r="DP23" s="41"/>
      <c r="DQ23" s="41"/>
      <c r="DR23" s="41"/>
      <c r="DS23" s="41"/>
      <c r="DT23" s="41"/>
      <c r="DU23" s="41"/>
      <c r="DV23" s="41"/>
      <c r="DW23" s="41"/>
      <c r="DX23" s="41"/>
      <c r="DY23" s="41"/>
      <c r="DZ23" s="41"/>
      <c r="EA23" s="41"/>
      <c r="EB23" s="41"/>
      <c r="EC23" s="41"/>
      <c r="ED23" s="41"/>
      <c r="EE23" s="41"/>
      <c r="EF23" s="41"/>
      <c r="EG23" s="41"/>
      <c r="EH23" s="41"/>
      <c r="EI23" s="41"/>
      <c r="EJ23" s="41"/>
      <c r="EK23" s="41"/>
      <c r="EL23" s="41"/>
      <c r="EM23" s="41"/>
      <c r="EN23" s="41"/>
      <c r="EO23" s="41"/>
      <c r="EP23" s="41"/>
      <c r="EQ23" s="41"/>
    </row>
    <row r="24" spans="1:147" x14ac:dyDescent="0.3">
      <c r="A24" s="393" t="s">
        <v>11</v>
      </c>
      <c r="B24" s="393"/>
      <c r="C24" s="240"/>
      <c r="D24" s="7"/>
      <c r="E24" s="7"/>
      <c r="F24" s="8"/>
      <c r="G24" s="9">
        <f>SUM(G14:G23)</f>
        <v>261</v>
      </c>
      <c r="H24" s="9">
        <f>SUM(H14:H23)</f>
        <v>2088</v>
      </c>
      <c r="I24" s="31"/>
      <c r="J24" s="36">
        <f>SUM(J14:J23)</f>
        <v>642060</v>
      </c>
      <c r="K24" s="209"/>
      <c r="L24" s="209">
        <f>SUM(L14:L23)</f>
        <v>238658.40000000002</v>
      </c>
      <c r="M24" s="36">
        <f>SUM(M14:M23)</f>
        <v>403401.6</v>
      </c>
      <c r="N24" s="33"/>
      <c r="O24" s="209">
        <f>SUM(O14:O23)</f>
        <v>104400</v>
      </c>
      <c r="P24" s="36">
        <f>SUM(P14:P23)</f>
        <v>-134258.40000000002</v>
      </c>
      <c r="Q24" s="15">
        <f>IF(G24=0,"",P24/O24)</f>
        <v>-1.2860000000000003</v>
      </c>
      <c r="R24" s="8">
        <f>IF(G24=0,"",1-O24/J24)</f>
        <v>0.83739837398373984</v>
      </c>
      <c r="S24" s="381">
        <f>SUM(S14:S23)</f>
        <v>0</v>
      </c>
      <c r="U24" s="374">
        <f>SUM(U14:U23)</f>
        <v>0</v>
      </c>
    </row>
    <row r="25" spans="1:147" x14ac:dyDescent="0.3">
      <c r="D25" s="7"/>
      <c r="E25" s="7"/>
      <c r="F25" s="8"/>
      <c r="G25" s="9"/>
      <c r="H25" s="9"/>
      <c r="I25" s="31"/>
      <c r="J25" s="36"/>
      <c r="K25" s="209"/>
      <c r="L25" s="209"/>
      <c r="M25" s="36"/>
      <c r="N25" s="33"/>
      <c r="O25" s="209"/>
      <c r="P25" s="36"/>
      <c r="Q25" s="10"/>
      <c r="R25" s="8"/>
    </row>
    <row r="26" spans="1:147" outlineLevel="1" x14ac:dyDescent="0.3">
      <c r="B26" s="3"/>
      <c r="C26" s="3"/>
      <c r="D26" s="5"/>
      <c r="E26" s="5"/>
      <c r="F26" s="5"/>
      <c r="G26" s="6"/>
      <c r="H26" s="118"/>
      <c r="I26" s="34"/>
      <c r="J26" s="38"/>
      <c r="K26" s="210"/>
      <c r="L26" s="210"/>
      <c r="M26" s="38"/>
      <c r="N26" s="34"/>
      <c r="O26" s="210"/>
      <c r="P26" s="38"/>
      <c r="Q26" s="6"/>
      <c r="R26" s="6"/>
    </row>
    <row r="27" spans="1:147" outlineLevel="1" x14ac:dyDescent="0.3">
      <c r="A27" s="12" t="s">
        <v>12</v>
      </c>
      <c r="B27" s="12" t="s">
        <v>55</v>
      </c>
      <c r="C27" s="12"/>
      <c r="D27" s="13" t="s">
        <v>56</v>
      </c>
      <c r="E27" s="13" t="s">
        <v>57</v>
      </c>
      <c r="F27" s="13" t="s">
        <v>7</v>
      </c>
      <c r="G27" s="13" t="s">
        <v>20</v>
      </c>
      <c r="H27" s="119" t="s">
        <v>83</v>
      </c>
      <c r="I27" s="40" t="s">
        <v>10</v>
      </c>
      <c r="J27" s="13" t="s">
        <v>58</v>
      </c>
      <c r="K27" s="206" t="s">
        <v>59</v>
      </c>
      <c r="L27" s="218" t="s">
        <v>31</v>
      </c>
      <c r="M27" s="39" t="s">
        <v>21</v>
      </c>
      <c r="N27" s="35" t="s">
        <v>22</v>
      </c>
      <c r="O27" s="218" t="s">
        <v>60</v>
      </c>
      <c r="P27" s="13" t="s">
        <v>32</v>
      </c>
      <c r="Q27" s="13" t="s">
        <v>23</v>
      </c>
      <c r="R27" s="13" t="s">
        <v>24</v>
      </c>
    </row>
    <row r="28" spans="1:147" outlineLevel="1" x14ac:dyDescent="0.3">
      <c r="A28" s="87"/>
      <c r="B28" s="87"/>
      <c r="C28" s="87"/>
      <c r="D28" s="88"/>
      <c r="E28" s="88"/>
      <c r="F28" s="162"/>
      <c r="G28" s="9" t="str">
        <f t="shared" ref="G28:G34" si="11">IF(ISBLANK(A28),"",NETWORKDAYS(D28,E28)*F28)</f>
        <v/>
      </c>
      <c r="H28" s="120" t="str">
        <f t="shared" ref="H28:H34" si="12">IF(ISBLANK(A28),"",G28*$B$9)</f>
        <v/>
      </c>
      <c r="I28" s="90"/>
      <c r="J28" s="36" t="str">
        <f t="shared" ref="J28:J34" si="13">IF(ISBLANK(A28),"",H28*I28)</f>
        <v/>
      </c>
      <c r="K28" s="211"/>
      <c r="L28" s="219" t="str">
        <f t="shared" ref="L28:L34" si="14">IF(ISBLANK(A28)," ",(K28*G28*$B$9))</f>
        <v xml:space="preserve"> </v>
      </c>
      <c r="M28" s="36" t="str">
        <f>IF(ISBLANK(A28),"",(I28*G28*8)-L28)</f>
        <v/>
      </c>
      <c r="N28" s="90"/>
      <c r="O28" s="209" t="str">
        <f t="shared" ref="O28:O34" si="15">IF(ISBLANK(A28),"",G28*N28*$B$9)</f>
        <v/>
      </c>
      <c r="P28" s="36" t="str">
        <f t="shared" ref="P28:P34" si="16">IF(ISBLANK(A28),"",O28-L28)</f>
        <v/>
      </c>
      <c r="Q28" s="15" t="str">
        <f t="shared" ref="Q28:Q34" si="17">IF(ISBLANK(A28),"",P28/O28)</f>
        <v/>
      </c>
      <c r="R28" s="8" t="str">
        <f t="shared" ref="R28:R34" si="18">IF(ISBLANK(A28),"",1-O28/J28)</f>
        <v/>
      </c>
      <c r="T28" s="41" t="str">
        <f t="shared" ref="T28:T34" si="19">IF(ISBLANK(A28),"",CONCATENATE(C28,"-",$B$5))</f>
        <v/>
      </c>
      <c r="X28" s="240"/>
    </row>
    <row r="29" spans="1:147" outlineLevel="1" x14ac:dyDescent="0.3">
      <c r="A29" s="87"/>
      <c r="B29" s="87"/>
      <c r="C29" s="87"/>
      <c r="D29" s="88"/>
      <c r="E29" s="88"/>
      <c r="F29" s="162"/>
      <c r="G29" s="9" t="str">
        <f t="shared" si="11"/>
        <v/>
      </c>
      <c r="H29" s="120" t="str">
        <f t="shared" si="12"/>
        <v/>
      </c>
      <c r="I29" s="90"/>
      <c r="J29" s="36" t="str">
        <f t="shared" si="13"/>
        <v/>
      </c>
      <c r="K29" s="211"/>
      <c r="L29" s="219" t="str">
        <f t="shared" si="14"/>
        <v xml:space="preserve"> </v>
      </c>
      <c r="M29" s="36" t="str">
        <f t="shared" ref="M29:M34" si="20">IF(ISBLANK(A29),"",J29-L29)</f>
        <v/>
      </c>
      <c r="N29" s="90"/>
      <c r="O29" s="209" t="str">
        <f t="shared" si="15"/>
        <v/>
      </c>
      <c r="P29" s="36" t="str">
        <f t="shared" si="16"/>
        <v/>
      </c>
      <c r="Q29" s="15" t="str">
        <f t="shared" si="17"/>
        <v/>
      </c>
      <c r="R29" s="8" t="str">
        <f t="shared" si="18"/>
        <v/>
      </c>
      <c r="T29" s="41" t="str">
        <f t="shared" si="19"/>
        <v/>
      </c>
    </row>
    <row r="30" spans="1:147" outlineLevel="1" x14ac:dyDescent="0.3">
      <c r="A30" s="87"/>
      <c r="B30" s="87"/>
      <c r="C30" s="87"/>
      <c r="D30" s="88"/>
      <c r="E30" s="88"/>
      <c r="F30" s="162"/>
      <c r="G30" s="9" t="str">
        <f t="shared" si="11"/>
        <v/>
      </c>
      <c r="H30" s="120" t="str">
        <f t="shared" si="12"/>
        <v/>
      </c>
      <c r="I30" s="90"/>
      <c r="J30" s="36" t="str">
        <f t="shared" si="13"/>
        <v/>
      </c>
      <c r="K30" s="211"/>
      <c r="L30" s="219" t="str">
        <f t="shared" si="14"/>
        <v xml:space="preserve"> </v>
      </c>
      <c r="M30" s="36" t="str">
        <f t="shared" si="20"/>
        <v/>
      </c>
      <c r="N30" s="90"/>
      <c r="O30" s="209" t="str">
        <f t="shared" si="15"/>
        <v/>
      </c>
      <c r="P30" s="36" t="str">
        <f t="shared" si="16"/>
        <v/>
      </c>
      <c r="Q30" s="15" t="str">
        <f t="shared" si="17"/>
        <v/>
      </c>
      <c r="R30" s="8" t="str">
        <f t="shared" si="18"/>
        <v/>
      </c>
      <c r="T30" s="41" t="str">
        <f t="shared" si="19"/>
        <v/>
      </c>
    </row>
    <row r="31" spans="1:147" outlineLevel="1" x14ac:dyDescent="0.3">
      <c r="A31" s="87"/>
      <c r="B31" s="87"/>
      <c r="C31" s="87"/>
      <c r="D31" s="88"/>
      <c r="E31" s="88"/>
      <c r="F31" s="162"/>
      <c r="G31" s="9" t="str">
        <f t="shared" si="11"/>
        <v/>
      </c>
      <c r="H31" s="120" t="str">
        <f t="shared" si="12"/>
        <v/>
      </c>
      <c r="I31" s="90"/>
      <c r="J31" s="36" t="str">
        <f t="shared" si="13"/>
        <v/>
      </c>
      <c r="K31" s="211"/>
      <c r="L31" s="219" t="str">
        <f t="shared" si="14"/>
        <v xml:space="preserve"> </v>
      </c>
      <c r="M31" s="36" t="str">
        <f t="shared" si="20"/>
        <v/>
      </c>
      <c r="N31" s="90"/>
      <c r="O31" s="209" t="str">
        <f t="shared" si="15"/>
        <v/>
      </c>
      <c r="P31" s="36" t="str">
        <f t="shared" si="16"/>
        <v/>
      </c>
      <c r="Q31" s="15" t="str">
        <f t="shared" si="17"/>
        <v/>
      </c>
      <c r="R31" s="8" t="str">
        <f t="shared" si="18"/>
        <v/>
      </c>
      <c r="T31" s="41" t="str">
        <f t="shared" si="19"/>
        <v/>
      </c>
    </row>
    <row r="32" spans="1:147" outlineLevel="1" x14ac:dyDescent="0.3">
      <c r="A32" s="87"/>
      <c r="B32" s="87"/>
      <c r="C32" s="87"/>
      <c r="D32" s="88"/>
      <c r="E32" s="88"/>
      <c r="F32" s="162"/>
      <c r="G32" s="9" t="str">
        <f t="shared" si="11"/>
        <v/>
      </c>
      <c r="H32" s="120" t="str">
        <f t="shared" si="12"/>
        <v/>
      </c>
      <c r="I32" s="90"/>
      <c r="J32" s="36" t="str">
        <f t="shared" si="13"/>
        <v/>
      </c>
      <c r="K32" s="211"/>
      <c r="L32" s="219" t="str">
        <f t="shared" si="14"/>
        <v xml:space="preserve"> </v>
      </c>
      <c r="M32" s="36" t="str">
        <f t="shared" si="20"/>
        <v/>
      </c>
      <c r="N32" s="90"/>
      <c r="O32" s="209" t="str">
        <f t="shared" si="15"/>
        <v/>
      </c>
      <c r="P32" s="36" t="str">
        <f t="shared" si="16"/>
        <v/>
      </c>
      <c r="Q32" s="15" t="str">
        <f t="shared" si="17"/>
        <v/>
      </c>
      <c r="R32" s="8" t="str">
        <f t="shared" si="18"/>
        <v/>
      </c>
      <c r="T32" s="41" t="str">
        <f t="shared" si="19"/>
        <v/>
      </c>
    </row>
    <row r="33" spans="1:147" outlineLevel="1" x14ac:dyDescent="0.3">
      <c r="A33" s="87"/>
      <c r="B33" s="87"/>
      <c r="C33" s="87"/>
      <c r="D33" s="88"/>
      <c r="E33" s="88"/>
      <c r="F33" s="162"/>
      <c r="G33" s="9" t="str">
        <f t="shared" si="11"/>
        <v/>
      </c>
      <c r="H33" s="120" t="str">
        <f t="shared" si="12"/>
        <v/>
      </c>
      <c r="I33" s="90"/>
      <c r="J33" s="36" t="str">
        <f t="shared" si="13"/>
        <v/>
      </c>
      <c r="K33" s="211"/>
      <c r="L33" s="219" t="str">
        <f t="shared" si="14"/>
        <v xml:space="preserve"> </v>
      </c>
      <c r="M33" s="36" t="str">
        <f t="shared" si="20"/>
        <v/>
      </c>
      <c r="N33" s="90"/>
      <c r="O33" s="209" t="str">
        <f t="shared" si="15"/>
        <v/>
      </c>
      <c r="P33" s="36" t="str">
        <f t="shared" si="16"/>
        <v/>
      </c>
      <c r="Q33" s="15" t="str">
        <f t="shared" si="17"/>
        <v/>
      </c>
      <c r="R33" s="8" t="str">
        <f t="shared" si="18"/>
        <v/>
      </c>
      <c r="T33" s="41" t="str">
        <f t="shared" si="19"/>
        <v/>
      </c>
    </row>
    <row r="34" spans="1:147" s="11" customFormat="1" ht="14.4" outlineLevel="1" thickBot="1" x14ac:dyDescent="0.35">
      <c r="A34" s="167"/>
      <c r="B34" s="167"/>
      <c r="C34" s="167"/>
      <c r="D34" s="168"/>
      <c r="E34" s="168"/>
      <c r="F34" s="169"/>
      <c r="G34" s="170" t="str">
        <f t="shared" si="11"/>
        <v/>
      </c>
      <c r="H34" s="171" t="str">
        <f t="shared" si="12"/>
        <v/>
      </c>
      <c r="I34" s="175"/>
      <c r="J34" s="82" t="str">
        <f t="shared" si="13"/>
        <v/>
      </c>
      <c r="K34" s="212"/>
      <c r="L34" s="220" t="str">
        <f t="shared" si="14"/>
        <v xml:space="preserve"> </v>
      </c>
      <c r="M34" s="82" t="str">
        <f t="shared" si="20"/>
        <v/>
      </c>
      <c r="N34" s="175"/>
      <c r="O34" s="208" t="str">
        <f t="shared" si="15"/>
        <v/>
      </c>
      <c r="P34" s="82" t="str">
        <f t="shared" si="16"/>
        <v/>
      </c>
      <c r="Q34" s="158" t="str">
        <f t="shared" si="17"/>
        <v/>
      </c>
      <c r="R34" s="173" t="str">
        <f t="shared" si="18"/>
        <v/>
      </c>
      <c r="S34" s="382"/>
      <c r="T34" s="41" t="str">
        <f t="shared" si="19"/>
        <v/>
      </c>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J34" s="41"/>
      <c r="BK34" s="41"/>
      <c r="BL34" s="41"/>
      <c r="BM34" s="41"/>
      <c r="BN34" s="41"/>
      <c r="BO34" s="41"/>
      <c r="BP34" s="41"/>
      <c r="BQ34" s="41"/>
      <c r="BR34" s="41"/>
      <c r="BS34" s="41"/>
      <c r="BT34" s="41"/>
      <c r="BU34" s="41"/>
      <c r="BV34" s="41"/>
      <c r="BW34" s="41"/>
      <c r="BX34" s="41"/>
      <c r="BY34" s="41"/>
      <c r="BZ34" s="41"/>
      <c r="CA34" s="41"/>
      <c r="CB34" s="41"/>
      <c r="CC34" s="41"/>
      <c r="CD34" s="41"/>
      <c r="CE34" s="41"/>
      <c r="CF34" s="41"/>
      <c r="CG34" s="41"/>
      <c r="CH34" s="41"/>
      <c r="CI34" s="41"/>
      <c r="CJ34" s="41"/>
      <c r="CK34" s="41"/>
      <c r="CL34" s="41"/>
      <c r="CM34" s="41"/>
      <c r="CN34" s="41"/>
      <c r="CO34" s="41"/>
      <c r="CP34" s="41"/>
      <c r="CQ34" s="41"/>
      <c r="CR34" s="41"/>
      <c r="CS34" s="41"/>
      <c r="CT34" s="41"/>
      <c r="CU34" s="41"/>
      <c r="CV34" s="41"/>
      <c r="CW34" s="41"/>
      <c r="CX34" s="41"/>
      <c r="CY34" s="41"/>
      <c r="CZ34" s="41"/>
      <c r="DA34" s="41"/>
      <c r="DB34" s="41"/>
      <c r="DC34" s="41"/>
      <c r="DD34" s="41"/>
      <c r="DE34" s="41"/>
      <c r="DF34" s="41"/>
      <c r="DG34" s="41"/>
      <c r="DH34" s="41"/>
      <c r="DI34" s="41"/>
      <c r="DJ34" s="41"/>
      <c r="DK34" s="41"/>
      <c r="DL34" s="41"/>
      <c r="DM34" s="41"/>
      <c r="DN34" s="41"/>
      <c r="DO34" s="41"/>
      <c r="DP34" s="41"/>
      <c r="DQ34" s="41"/>
      <c r="DR34" s="41"/>
      <c r="DS34" s="41"/>
      <c r="DT34" s="41"/>
      <c r="DU34" s="41"/>
      <c r="DV34" s="41"/>
      <c r="DW34" s="41"/>
      <c r="DX34" s="41"/>
      <c r="DY34" s="41"/>
      <c r="DZ34" s="41"/>
      <c r="EA34" s="41"/>
      <c r="EB34" s="41"/>
      <c r="EC34" s="41"/>
      <c r="ED34" s="41"/>
      <c r="EE34" s="41"/>
      <c r="EF34" s="41"/>
      <c r="EG34" s="41"/>
      <c r="EH34" s="41"/>
      <c r="EI34" s="41"/>
      <c r="EJ34" s="41"/>
      <c r="EK34" s="41"/>
      <c r="EL34" s="41"/>
      <c r="EM34" s="41"/>
      <c r="EN34" s="41"/>
      <c r="EO34" s="41"/>
      <c r="EP34" s="41"/>
      <c r="EQ34" s="41"/>
    </row>
    <row r="35" spans="1:147" x14ac:dyDescent="0.3">
      <c r="A35" s="3" t="s">
        <v>13</v>
      </c>
      <c r="G35" s="9">
        <f>SUM(G28:G34)</f>
        <v>0</v>
      </c>
      <c r="H35" s="9">
        <f>SUM(H28:H34)</f>
        <v>0</v>
      </c>
      <c r="I35" s="31"/>
      <c r="J35" s="36">
        <f>SUM(J28:J34)</f>
        <v>0</v>
      </c>
      <c r="K35" s="209"/>
      <c r="L35" s="209">
        <f>SUM(L28:L34)</f>
        <v>0</v>
      </c>
      <c r="M35" s="36">
        <f>SUM(M28:M34)</f>
        <v>0</v>
      </c>
      <c r="N35" s="33"/>
      <c r="O35" s="209">
        <f>SUM(O28:O34)</f>
        <v>0</v>
      </c>
      <c r="P35" s="36">
        <f>SUM(P28:P34)</f>
        <v>0</v>
      </c>
      <c r="Q35" s="15">
        <f>IF(ISBLANK(A35),"",IF(O35&gt;0,P35/O35,0))</f>
        <v>0</v>
      </c>
      <c r="R35" s="8">
        <f>IF(ISBLANK(A35),"",IF(J35&gt;0,1-O35/J35,1))</f>
        <v>1</v>
      </c>
    </row>
    <row r="36" spans="1:147" x14ac:dyDescent="0.3">
      <c r="I36" s="31"/>
      <c r="J36" s="36"/>
      <c r="K36" s="209"/>
      <c r="L36" s="209"/>
      <c r="M36" s="36"/>
      <c r="O36" s="209"/>
      <c r="P36" s="36"/>
    </row>
    <row r="37" spans="1:147" x14ac:dyDescent="0.3">
      <c r="A37" s="3" t="s">
        <v>14</v>
      </c>
      <c r="G37" s="17">
        <f>IF($B$4="Fixed Price",RISK!$L$9*(G24+G35),RISK!$N$9*(G24+G35))</f>
        <v>19.574999999999999</v>
      </c>
      <c r="H37" s="120">
        <f>IF(ISBLANK(B6),0,G37*B9)</f>
        <v>156.6</v>
      </c>
      <c r="I37" s="33"/>
      <c r="J37" s="51">
        <f>IF($B$4="Fixed Price",RISK!$L$9*(J24+J35),RISK!$N$9*(J24+J35))</f>
        <v>48154.5</v>
      </c>
      <c r="K37" s="209"/>
      <c r="L37" s="51">
        <f>IF($B$4="Fixed Price",RISK!$L$9*(L24+L35),RISK!$N$9*(L24+L35))</f>
        <v>17899.38</v>
      </c>
      <c r="M37" s="51">
        <f>IF($B$4="Fixed Price",RISK!$L$9*(M24+M35),RISK!$N$9*(M24+M35))</f>
        <v>30255.119999999995</v>
      </c>
      <c r="O37" s="51">
        <f>IF($B$4="Fixed Price",RISK!$L$9*(O24+O35),RISK!$N$9*(O24+O35))</f>
        <v>7830</v>
      </c>
      <c r="P37" s="51">
        <f>IF($B$4="Fixed Price",RISK!$L$9*(P24+P35),RISK!$N$9*(P24+P35))</f>
        <v>-10069.380000000001</v>
      </c>
      <c r="Q37" s="15">
        <f>IF(G37=0,"",P37/O37)</f>
        <v>-1.286</v>
      </c>
      <c r="R37" s="8">
        <f>IF(G37=0,"",1-O37/J37)</f>
        <v>0.83739837398373984</v>
      </c>
    </row>
    <row r="38" spans="1:147" x14ac:dyDescent="0.3">
      <c r="A38" s="3" t="s">
        <v>173</v>
      </c>
      <c r="G38" s="17">
        <f>IF($B$4="Fixed Price",RISK!$M$9*(G24+G35)+RISK!$O$9*(G24+G35),0)</f>
        <v>0</v>
      </c>
      <c r="H38" s="120">
        <f>IF(ISBLANK(B6),0,G38*B9)</f>
        <v>0</v>
      </c>
      <c r="I38" s="33"/>
      <c r="J38" s="17">
        <f>IF($B$4="Fixed Price",RISK!$M$9*(J24+J35)+RISK!$O$9*(J24+J35),0)</f>
        <v>0</v>
      </c>
      <c r="K38" s="209"/>
      <c r="L38" s="17">
        <f>IF($B$4="Fixed Price",RISK!$M$9*(L24+L35)+RISK!$O$9*(L24+L35),0)</f>
        <v>0</v>
      </c>
      <c r="M38" s="17">
        <f>IF($B$4="Fixed Price",RISK!$M$9*(M24+M35)+RISK!$O$9*(M24+M35),0)</f>
        <v>0</v>
      </c>
      <c r="O38" s="17">
        <f>IF($B$4="Fixed Price",RISK!$M$9*(O24+O35)+RISK!$O$9*(O24+O35),0)</f>
        <v>0</v>
      </c>
      <c r="P38" s="17">
        <f>IF($B$4="Fixed Price",RISK!$M$9*(P24+P35)+RISK!$O$9*(P24+P35),0)</f>
        <v>0</v>
      </c>
      <c r="Q38" s="15" t="str">
        <f>IF(G38=0,"",P38/O38)</f>
        <v/>
      </c>
      <c r="R38" s="8" t="str">
        <f>IF(G38=0,"",1-O38/J38)</f>
        <v/>
      </c>
    </row>
    <row r="39" spans="1:147" x14ac:dyDescent="0.3">
      <c r="A39" s="3" t="s">
        <v>172</v>
      </c>
      <c r="G39" s="17">
        <f>IF($B$4="T&amp;M",RISK!$O$9*(G24+G35),0)</f>
        <v>0</v>
      </c>
      <c r="H39" s="120">
        <f>IF(ISBLANK(B6),0,G39*B9)</f>
        <v>0</v>
      </c>
      <c r="I39" s="33"/>
      <c r="J39" s="17">
        <f>IF($B$4="T&amp;M",RISK!$O$9*(J24+J35),0)</f>
        <v>0</v>
      </c>
      <c r="K39" s="209"/>
      <c r="L39" s="17">
        <f>IF($B$4="T&amp;M",RISK!$O$9*(L24+L35),0)</f>
        <v>0</v>
      </c>
      <c r="M39" s="17">
        <f>IF($B$4="T&amp;M",RISK!$O$9*(M24+M35),0)</f>
        <v>0</v>
      </c>
      <c r="O39" s="17">
        <f>IF($B$4="T&amp;M",RISK!$O$9*(O24+O35),0)</f>
        <v>0</v>
      </c>
      <c r="P39" s="17">
        <f>IF($B$4="T&amp;M",RISK!$O$9*(P24+P35),0)</f>
        <v>0</v>
      </c>
      <c r="Q39" s="15" t="str">
        <f>IF(G39=0,"",P39/O39)</f>
        <v/>
      </c>
      <c r="R39" s="8" t="str">
        <f>IF(G39=0,"",1-O39/J39)</f>
        <v/>
      </c>
    </row>
    <row r="40" spans="1:147" x14ac:dyDescent="0.3">
      <c r="A40" s="3" t="s">
        <v>147</v>
      </c>
      <c r="G40" s="17">
        <f>G24+G35+G37+G38+G39</f>
        <v>280.57499999999999</v>
      </c>
      <c r="H40" s="17">
        <f>H24+H35+H37+H38+H39</f>
        <v>2244.6</v>
      </c>
      <c r="I40" s="33"/>
      <c r="J40" s="17">
        <f>J24+J35+J37+J38+J39</f>
        <v>690214.5</v>
      </c>
      <c r="K40" s="209"/>
      <c r="L40" s="17">
        <f>L24+L35+L37+L38+L39</f>
        <v>256557.78000000003</v>
      </c>
      <c r="M40" s="17">
        <f>M24+M35+M37+M39+M50+M38</f>
        <v>433656.72</v>
      </c>
      <c r="O40" s="17">
        <f>O24+O35+O37+O38+O39</f>
        <v>112230</v>
      </c>
      <c r="P40" s="17">
        <f>P24+P35+P37+P39+P50+P38</f>
        <v>-144327.78000000003</v>
      </c>
      <c r="Q40" s="15">
        <f>IF(ISBLANK(A40),"",IF(O40&gt;0,P40/O40,0))</f>
        <v>-1.2860000000000003</v>
      </c>
      <c r="R40" s="8"/>
    </row>
    <row r="41" spans="1:147" x14ac:dyDescent="0.3">
      <c r="A41" s="3"/>
      <c r="G41" s="17"/>
      <c r="H41" s="120"/>
      <c r="I41" s="33"/>
      <c r="J41" s="51"/>
      <c r="K41" s="209"/>
      <c r="L41" s="51"/>
      <c r="M41" s="51"/>
      <c r="O41" s="51"/>
      <c r="P41" s="51"/>
      <c r="Q41" s="15"/>
      <c r="R41" s="8"/>
    </row>
    <row r="42" spans="1:147" hidden="1" outlineLevel="1" x14ac:dyDescent="0.3">
      <c r="A42" s="12" t="s">
        <v>145</v>
      </c>
      <c r="B42" s="12"/>
      <c r="C42" s="12"/>
      <c r="D42" s="13" t="s">
        <v>56</v>
      </c>
      <c r="E42" s="13" t="s">
        <v>57</v>
      </c>
      <c r="F42" s="13" t="s">
        <v>149</v>
      </c>
      <c r="G42" s="13" t="s">
        <v>20</v>
      </c>
      <c r="H42" s="119" t="s">
        <v>83</v>
      </c>
      <c r="I42" s="40" t="s">
        <v>10</v>
      </c>
      <c r="J42" s="13" t="s">
        <v>58</v>
      </c>
      <c r="K42" s="206"/>
      <c r="L42" s="218" t="s">
        <v>31</v>
      </c>
      <c r="M42" s="39" t="s">
        <v>21</v>
      </c>
      <c r="N42" s="35" t="s">
        <v>22</v>
      </c>
      <c r="O42" s="218" t="s">
        <v>60</v>
      </c>
      <c r="P42" s="13" t="s">
        <v>32</v>
      </c>
      <c r="Q42" s="13"/>
      <c r="R42" s="13"/>
    </row>
    <row r="43" spans="1:147" hidden="1" outlineLevel="1" x14ac:dyDescent="0.3">
      <c r="A43" s="160"/>
      <c r="B43" s="160"/>
      <c r="C43" s="160"/>
      <c r="D43" s="161"/>
      <c r="E43" s="161"/>
      <c r="F43" s="162"/>
      <c r="G43" s="163" t="str">
        <f>IF(ISBLANK(A43),"",NETWORKDAYS(D43,E43)*F43)</f>
        <v/>
      </c>
      <c r="H43" s="164" t="str">
        <f>IF(ISBLANK(A43),"",G43*$B$9)</f>
        <v/>
      </c>
      <c r="I43" s="165">
        <v>0</v>
      </c>
      <c r="J43" s="80" t="str">
        <f>IF(ISBLANK(A43),"",H43*I43)</f>
        <v/>
      </c>
      <c r="K43" s="213">
        <v>0</v>
      </c>
      <c r="L43" s="221" t="str">
        <f>IF(ISBLANK(A43)," ",(K43*G43*$B$9))</f>
        <v xml:space="preserve"> </v>
      </c>
      <c r="M43" s="80" t="str">
        <f>IF(ISBLANK(A43),"",(I43*G43*8)-L43)</f>
        <v/>
      </c>
      <c r="N43" s="165">
        <v>0</v>
      </c>
      <c r="O43" s="207" t="str">
        <f>IF(ISBLANK(A43),"",G43*N43*$B$9)</f>
        <v/>
      </c>
      <c r="P43" s="80" t="str">
        <f>IF(ISBLANK(A43),"",O43-L43)</f>
        <v/>
      </c>
      <c r="Q43" s="155"/>
      <c r="R43" s="166"/>
      <c r="S43" s="383"/>
      <c r="T43" s="41" t="str">
        <f>IF(ISBLANK(A43),"",CONCATENATE(C43,"-",$B$5))</f>
        <v/>
      </c>
      <c r="X43" s="240"/>
    </row>
    <row r="44" spans="1:147" hidden="1" outlineLevel="1" x14ac:dyDescent="0.3">
      <c r="A44" s="160"/>
      <c r="B44" s="160"/>
      <c r="C44" s="160"/>
      <c r="D44" s="161"/>
      <c r="E44" s="161"/>
      <c r="F44" s="162"/>
      <c r="G44" s="163" t="str">
        <f>IF(ISBLANK(A44),"",NETWORKDAYS(D44,E44)*F44)</f>
        <v/>
      </c>
      <c r="H44" s="164" t="str">
        <f>IF(ISBLANK(A44),"",G44*$B$9)</f>
        <v/>
      </c>
      <c r="I44" s="165">
        <v>0</v>
      </c>
      <c r="J44" s="80" t="str">
        <f>IF(ISBLANK(A44),"",H44*I44)</f>
        <v/>
      </c>
      <c r="K44" s="213">
        <v>0</v>
      </c>
      <c r="L44" s="221" t="str">
        <f>IF(ISBLANK(A44)," ",(K44*G44*$B$9))</f>
        <v xml:space="preserve"> </v>
      </c>
      <c r="M44" s="80" t="str">
        <f>IF(ISBLANK(A44),"",J44-L44)</f>
        <v/>
      </c>
      <c r="N44" s="165">
        <v>0</v>
      </c>
      <c r="O44" s="207" t="str">
        <f>IF(ISBLANK(A44),"",G44*N44*$B$9)</f>
        <v/>
      </c>
      <c r="P44" s="80" t="str">
        <f>IF(ISBLANK(A44),"",O44-L44)</f>
        <v/>
      </c>
      <c r="Q44" s="155"/>
      <c r="R44" s="166"/>
      <c r="S44" s="383"/>
      <c r="T44" s="41" t="str">
        <f>IF(ISBLANK(A44),"",CONCATENATE(C44,"-",$B$5))</f>
        <v/>
      </c>
    </row>
    <row r="45" spans="1:147" hidden="1" outlineLevel="1" x14ac:dyDescent="0.3">
      <c r="A45" s="160"/>
      <c r="B45" s="160"/>
      <c r="C45" s="160"/>
      <c r="D45" s="161"/>
      <c r="E45" s="161"/>
      <c r="F45" s="162"/>
      <c r="G45" s="163" t="str">
        <f>IF(ISBLANK(A45),"",NETWORKDAYS(D45,E45)*F45)</f>
        <v/>
      </c>
      <c r="H45" s="164" t="str">
        <f>IF(ISBLANK(A45),"",G45*$B$9)</f>
        <v/>
      </c>
      <c r="I45" s="165">
        <v>0</v>
      </c>
      <c r="J45" s="80" t="str">
        <f>IF(ISBLANK(A45),"",H45*I45)</f>
        <v/>
      </c>
      <c r="K45" s="213">
        <v>0</v>
      </c>
      <c r="L45" s="221" t="str">
        <f>IF(ISBLANK(A45)," ",(K45*G45*$B$9))</f>
        <v xml:space="preserve"> </v>
      </c>
      <c r="M45" s="80" t="str">
        <f>IF(ISBLANK(A45),"",J45-L45)</f>
        <v/>
      </c>
      <c r="N45" s="165">
        <v>0</v>
      </c>
      <c r="O45" s="207" t="str">
        <f>IF(ISBLANK(A45),"",G45*N45*$B$9)</f>
        <v/>
      </c>
      <c r="P45" s="80" t="str">
        <f>IF(ISBLANK(A45),"",O45-L45)</f>
        <v/>
      </c>
      <c r="Q45" s="155" t="str">
        <f>IF(ISBLANK(A45),"",P45/O45)</f>
        <v/>
      </c>
      <c r="R45" s="166" t="str">
        <f>IF(ISBLANK(A45),"",1-O45/J45)</f>
        <v/>
      </c>
      <c r="S45" s="383"/>
      <c r="T45" s="41" t="str">
        <f>IF(ISBLANK(A45),"",CONCATENATE(C45,"-",$B$5))</f>
        <v/>
      </c>
    </row>
    <row r="46" spans="1:147" hidden="1" outlineLevel="1" x14ac:dyDescent="0.3">
      <c r="A46" s="160"/>
      <c r="B46" s="160"/>
      <c r="C46" s="160"/>
      <c r="D46" s="161"/>
      <c r="E46" s="161"/>
      <c r="F46" s="162"/>
      <c r="G46" s="163" t="str">
        <f>IF(ISBLANK(A46),"",NETWORKDAYS(D46,E46)*F46)</f>
        <v/>
      </c>
      <c r="H46" s="164" t="str">
        <f>IF(ISBLANK(A46),"",G46*$B$9)</f>
        <v/>
      </c>
      <c r="I46" s="165">
        <v>0</v>
      </c>
      <c r="J46" s="80" t="str">
        <f>IF(ISBLANK(A46),"",H46*I46)</f>
        <v/>
      </c>
      <c r="K46" s="213">
        <v>0</v>
      </c>
      <c r="L46" s="221" t="str">
        <f>IF(ISBLANK(A46)," ",(K46*G46*$B$9))</f>
        <v xml:space="preserve"> </v>
      </c>
      <c r="M46" s="80" t="str">
        <f>IF(ISBLANK(A46),"",J46-L46)</f>
        <v/>
      </c>
      <c r="N46" s="165">
        <v>0</v>
      </c>
      <c r="O46" s="207" t="str">
        <f>IF(ISBLANK(A46),"",G46*N46*$B$9)</f>
        <v/>
      </c>
      <c r="P46" s="80" t="str">
        <f>IF(ISBLANK(A46),"",O46-L46)</f>
        <v/>
      </c>
      <c r="Q46" s="155" t="str">
        <f>IF(ISBLANK(A46),"",P46/O46)</f>
        <v/>
      </c>
      <c r="R46" s="166" t="str">
        <f>IF(ISBLANK(A46),"",1-O46/J46)</f>
        <v/>
      </c>
      <c r="S46" s="383"/>
      <c r="T46" s="41" t="str">
        <f>IF(ISBLANK(A46),"",CONCATENATE(C46,"-",$B$5))</f>
        <v/>
      </c>
    </row>
    <row r="47" spans="1:147" ht="14.4" hidden="1" outlineLevel="1" thickBot="1" x14ac:dyDescent="0.35">
      <c r="A47" s="167"/>
      <c r="B47" s="167"/>
      <c r="C47" s="167"/>
      <c r="D47" s="168"/>
      <c r="E47" s="168"/>
      <c r="F47" s="169"/>
      <c r="G47" s="170" t="str">
        <f>IF(ISBLANK(A47),"",NETWORKDAYS(D47,E47)*F47)</f>
        <v/>
      </c>
      <c r="H47" s="171" t="str">
        <f>IF(ISBLANK(A47),"",G47*$B$9)</f>
        <v/>
      </c>
      <c r="I47" s="172">
        <v>0</v>
      </c>
      <c r="J47" s="82" t="str">
        <f>IF(ISBLANK(A47),"",H47*I47)</f>
        <v/>
      </c>
      <c r="K47" s="214">
        <v>0</v>
      </c>
      <c r="L47" s="220" t="str">
        <f>IF(ISBLANK(A47)," ",(K47*G47*$B$9))</f>
        <v xml:space="preserve"> </v>
      </c>
      <c r="M47" s="82" t="str">
        <f>IF(ISBLANK(A47),"",J47-L47)</f>
        <v/>
      </c>
      <c r="N47" s="172">
        <v>0</v>
      </c>
      <c r="O47" s="208" t="str">
        <f>IF(ISBLANK(A47),"",G47*N47*$B$9)</f>
        <v/>
      </c>
      <c r="P47" s="82" t="str">
        <f>IF(ISBLANK(A47),"",O47-L47)</f>
        <v/>
      </c>
      <c r="Q47" s="158" t="str">
        <f>IF(ISBLANK(A47),"",P47/O47)</f>
        <v/>
      </c>
      <c r="R47" s="173" t="str">
        <f>IF(ISBLANK(A47),"",1-O47/J47)</f>
        <v/>
      </c>
      <c r="S47" s="382"/>
      <c r="T47" s="41" t="str">
        <f>IF(ISBLANK(A47),"",CONCATENATE(C47,"-",$B$5))</f>
        <v/>
      </c>
    </row>
    <row r="48" spans="1:147" hidden="1" x14ac:dyDescent="0.3">
      <c r="A48" s="3" t="s">
        <v>146</v>
      </c>
      <c r="G48" s="17">
        <f>SUM(G43:G47)</f>
        <v>0</v>
      </c>
      <c r="H48" s="17">
        <f>SUM(H43:H47)</f>
        <v>0</v>
      </c>
      <c r="I48" s="33"/>
      <c r="J48" s="51"/>
      <c r="K48" s="209"/>
      <c r="L48" s="51"/>
      <c r="M48" s="51"/>
      <c r="O48" s="51"/>
      <c r="P48" s="51"/>
      <c r="Q48" s="15"/>
      <c r="R48" s="8"/>
    </row>
    <row r="49" spans="1:147" hidden="1" x14ac:dyDescent="0.3">
      <c r="A49" s="3"/>
      <c r="G49" s="17"/>
      <c r="H49" s="120"/>
      <c r="I49" s="33"/>
      <c r="J49" s="123"/>
      <c r="K49" s="209"/>
      <c r="L49" s="51"/>
      <c r="M49" s="51"/>
      <c r="O49" s="123"/>
      <c r="P49" s="51"/>
      <c r="Q49" s="15" t="str">
        <f>IF(G49=0,"",P49/O49)</f>
        <v/>
      </c>
      <c r="R49" s="8" t="str">
        <f>IF(G49=0,"",1-O49/J49)</f>
        <v/>
      </c>
    </row>
    <row r="50" spans="1:147" s="11" customFormat="1" x14ac:dyDescent="0.3">
      <c r="A50" s="12" t="s">
        <v>16</v>
      </c>
      <c r="H50" s="121"/>
      <c r="I50" s="32"/>
      <c r="J50" s="37"/>
      <c r="K50" s="215"/>
      <c r="L50" s="215">
        <f>'Non-Reimbursable Expenses'!B48</f>
        <v>0</v>
      </c>
      <c r="M50" s="37"/>
      <c r="N50" s="32"/>
      <c r="O50" s="215">
        <f>IF($B$4="Fixed Price",L50,0)</f>
        <v>0</v>
      </c>
      <c r="P50" s="37"/>
      <c r="Q50" s="18"/>
      <c r="S50" s="384"/>
      <c r="T50" s="41"/>
      <c r="U50" s="41"/>
      <c r="V50" s="41"/>
      <c r="W50" s="41"/>
      <c r="X50" s="41"/>
      <c r="Y50" s="41"/>
      <c r="Z50" s="41"/>
      <c r="AA50" s="41"/>
      <c r="AB50" s="41"/>
      <c r="AC50" s="41"/>
      <c r="AD50" s="41"/>
      <c r="AE50" s="41"/>
      <c r="AF50" s="41"/>
      <c r="AG50" s="41"/>
      <c r="AH50" s="41"/>
      <c r="AI50" s="41"/>
      <c r="AJ50" s="41"/>
      <c r="AK50" s="41"/>
      <c r="AL50" s="41"/>
      <c r="AM50" s="41"/>
      <c r="AN50" s="41"/>
      <c r="AO50" s="41"/>
      <c r="AP50" s="41"/>
      <c r="AQ50" s="41"/>
      <c r="AR50" s="41"/>
      <c r="AS50" s="41"/>
      <c r="AT50" s="41"/>
      <c r="AU50" s="41"/>
      <c r="AV50" s="41"/>
      <c r="AW50" s="41"/>
      <c r="AX50" s="41"/>
      <c r="AY50" s="41"/>
      <c r="AZ50" s="41"/>
      <c r="BA50" s="41"/>
      <c r="BB50" s="41"/>
      <c r="BC50" s="41"/>
      <c r="BD50" s="41"/>
      <c r="BE50" s="41"/>
      <c r="BF50" s="41"/>
      <c r="BG50" s="41"/>
      <c r="BH50" s="41"/>
      <c r="BI50" s="41"/>
      <c r="BJ50" s="41"/>
      <c r="BK50" s="41"/>
      <c r="BL50" s="41"/>
      <c r="BM50" s="41"/>
      <c r="BN50" s="41"/>
      <c r="BO50" s="41"/>
      <c r="BP50" s="41"/>
      <c r="BQ50" s="41"/>
      <c r="BR50" s="41"/>
      <c r="BS50" s="41"/>
      <c r="BT50" s="41"/>
      <c r="BU50" s="41"/>
      <c r="BV50" s="41"/>
      <c r="BW50" s="41"/>
      <c r="BX50" s="41"/>
      <c r="BY50" s="41"/>
      <c r="BZ50" s="41"/>
      <c r="CA50" s="41"/>
      <c r="CB50" s="41"/>
      <c r="CC50" s="41"/>
      <c r="CD50" s="41"/>
      <c r="CE50" s="41"/>
      <c r="CF50" s="41"/>
      <c r="CG50" s="41"/>
      <c r="CH50" s="41"/>
      <c r="CI50" s="41"/>
      <c r="CJ50" s="41"/>
      <c r="CK50" s="41"/>
      <c r="CL50" s="41"/>
      <c r="CM50" s="41"/>
      <c r="CN50" s="41"/>
      <c r="CO50" s="41"/>
      <c r="CP50" s="41"/>
      <c r="CQ50" s="41"/>
      <c r="CR50" s="41"/>
      <c r="CS50" s="41"/>
      <c r="CT50" s="41"/>
      <c r="CU50" s="41"/>
      <c r="CV50" s="41"/>
      <c r="CW50" s="41"/>
      <c r="CX50" s="41"/>
      <c r="CY50" s="41"/>
      <c r="CZ50" s="41"/>
      <c r="DA50" s="41"/>
      <c r="DB50" s="41"/>
      <c r="DC50" s="41"/>
      <c r="DD50" s="41"/>
      <c r="DE50" s="41"/>
      <c r="DF50" s="41"/>
      <c r="DG50" s="41"/>
      <c r="DH50" s="41"/>
      <c r="DI50" s="41"/>
      <c r="DJ50" s="41"/>
      <c r="DK50" s="41"/>
      <c r="DL50" s="41"/>
      <c r="DM50" s="41"/>
      <c r="DN50" s="41"/>
      <c r="DO50" s="41"/>
      <c r="DP50" s="41"/>
      <c r="DQ50" s="41"/>
      <c r="DR50" s="41"/>
      <c r="DS50" s="41"/>
      <c r="DT50" s="41"/>
      <c r="DU50" s="41"/>
      <c r="DV50" s="41"/>
      <c r="DW50" s="41"/>
      <c r="DX50" s="41"/>
      <c r="DY50" s="41"/>
      <c r="DZ50" s="41"/>
      <c r="EA50" s="41"/>
      <c r="EB50" s="41"/>
      <c r="EC50" s="41"/>
      <c r="ED50" s="41"/>
      <c r="EE50" s="41"/>
      <c r="EF50" s="41"/>
      <c r="EG50" s="41"/>
      <c r="EH50" s="41"/>
      <c r="EI50" s="41"/>
      <c r="EJ50" s="41"/>
      <c r="EK50" s="41"/>
      <c r="EL50" s="41"/>
      <c r="EM50" s="41"/>
      <c r="EN50" s="41"/>
      <c r="EO50" s="41"/>
      <c r="EP50" s="41"/>
      <c r="EQ50" s="41"/>
    </row>
    <row r="51" spans="1:147" ht="15.6" x14ac:dyDescent="0.3">
      <c r="A51" s="14" t="s">
        <v>17</v>
      </c>
      <c r="G51" s="9">
        <f>G40+G48</f>
        <v>280.57499999999999</v>
      </c>
      <c r="H51" s="9">
        <f>H40+H48</f>
        <v>2244.6</v>
      </c>
      <c r="I51" s="31"/>
      <c r="J51" s="36">
        <f>J40</f>
        <v>690214.5</v>
      </c>
      <c r="K51" s="209"/>
      <c r="L51" s="209">
        <f>L40+L50</f>
        <v>256557.78000000003</v>
      </c>
      <c r="M51" s="36">
        <f>M40</f>
        <v>433656.72</v>
      </c>
      <c r="N51" s="33"/>
      <c r="O51" s="209">
        <f>O40+O50</f>
        <v>112230</v>
      </c>
      <c r="P51" s="36">
        <f>P40</f>
        <v>-144327.78000000003</v>
      </c>
      <c r="Q51" s="15">
        <f>IF(ISBLANK(A51),"",IF(O51&gt;0,P51/O51,0))</f>
        <v>-1.2860000000000003</v>
      </c>
      <c r="R51" s="8">
        <f>IF(ISBLANK(A51),"",IF(J51&gt;0,1-O51/J51,1))</f>
        <v>0.83739837398373984</v>
      </c>
    </row>
    <row r="52" spans="1:147" ht="4.5" customHeight="1" thickBot="1" x14ac:dyDescent="0.35">
      <c r="I52" s="31"/>
      <c r="J52" s="36"/>
      <c r="K52" s="209"/>
      <c r="L52" s="209"/>
      <c r="M52" s="36"/>
      <c r="O52" s="209"/>
      <c r="P52" s="36"/>
    </row>
    <row r="53" spans="1:147" ht="15.75" customHeight="1" thickBot="1" x14ac:dyDescent="0.35">
      <c r="A53" s="64" t="s">
        <v>62</v>
      </c>
      <c r="B53" s="65"/>
      <c r="C53" s="65"/>
      <c r="D53" s="65"/>
      <c r="E53" s="65"/>
      <c r="F53" s="65"/>
      <c r="G53" s="66"/>
      <c r="H53" s="122"/>
      <c r="I53" s="67"/>
      <c r="J53" s="68"/>
      <c r="K53" s="216"/>
      <c r="L53" s="216"/>
      <c r="M53" s="68"/>
      <c r="N53" s="67"/>
      <c r="O53" s="222">
        <f>O51</f>
        <v>112230</v>
      </c>
      <c r="P53" s="44">
        <f>O53-L51</f>
        <v>-144327.78000000003</v>
      </c>
      <c r="Q53" s="45">
        <f>IF(ISBLANK(A53),"",IF(O53&gt;0,P53/O53,0))</f>
        <v>-1.2860000000000003</v>
      </c>
      <c r="R53" s="46">
        <f>IF(ISBLANK(A53),"",IF(J53&gt;0,1-O53/J53,1))</f>
        <v>1</v>
      </c>
    </row>
    <row r="54" spans="1:147" ht="6" customHeight="1" x14ac:dyDescent="0.3">
      <c r="I54" s="31"/>
      <c r="J54" s="36"/>
      <c r="K54" s="209"/>
      <c r="L54" s="209"/>
      <c r="M54" s="36"/>
      <c r="O54" s="209"/>
      <c r="P54" s="36"/>
    </row>
    <row r="55" spans="1:147" outlineLevel="1" x14ac:dyDescent="0.3">
      <c r="A55" s="2" t="str">
        <f>IF($B$8="Estimate","Low Estimate","")</f>
        <v/>
      </c>
      <c r="G55" s="9">
        <f>G51*(1-$F$8)</f>
        <v>266.54624999999999</v>
      </c>
      <c r="H55" s="9">
        <f>H51*(1-$F$8)</f>
        <v>2132.37</v>
      </c>
      <c r="I55" s="31"/>
      <c r="J55" s="36">
        <f>J51*(1-$F$8)</f>
        <v>655703.77500000002</v>
      </c>
      <c r="K55" s="209"/>
      <c r="L55" s="209">
        <f>L51*(1-$F$8)</f>
        <v>243729.891</v>
      </c>
      <c r="M55" s="36">
        <f>M51*(1-$F$8)</f>
        <v>411973.88399999996</v>
      </c>
      <c r="N55" s="50"/>
      <c r="O55" s="209">
        <f>O51*(1-$F$8)</f>
        <v>106618.5</v>
      </c>
      <c r="P55" s="36">
        <f>P51*(1-$F$8)</f>
        <v>-137111.39100000003</v>
      </c>
      <c r="Q55" s="15">
        <f>IF(ISBLANK(A55),"",IF(O55&gt;0,P55/O55,0))</f>
        <v>-1.2860000000000003</v>
      </c>
      <c r="R55" s="8"/>
    </row>
    <row r="56" spans="1:147" outlineLevel="1" x14ac:dyDescent="0.3">
      <c r="A56" s="2" t="str">
        <f>IF($B$8="Estimate","High Estimate","")</f>
        <v/>
      </c>
      <c r="G56" s="9">
        <f>G51*(1+$F$9)</f>
        <v>336.69</v>
      </c>
      <c r="H56" s="9">
        <f>H51*(1+$F$9)</f>
        <v>2693.52</v>
      </c>
      <c r="I56" s="31"/>
      <c r="J56" s="36">
        <f>J51*(1+$F$9)</f>
        <v>828257.4</v>
      </c>
      <c r="K56" s="209"/>
      <c r="L56" s="209">
        <f>L51*(1+$F$9)</f>
        <v>307869.33600000001</v>
      </c>
      <c r="M56" s="36">
        <f>M51*(1+$F$9)</f>
        <v>520388.06399999995</v>
      </c>
      <c r="N56" s="50"/>
      <c r="O56" s="209">
        <f>O51*(1+$F$9)</f>
        <v>134676</v>
      </c>
      <c r="P56" s="36">
        <f>P51*(1+$F$9)</f>
        <v>-173193.33600000004</v>
      </c>
      <c r="Q56" s="15">
        <f>IF(ISBLANK(A56),"",IF(O56&gt;0,P56/O56,0))</f>
        <v>-1.2860000000000003</v>
      </c>
      <c r="R56" s="8"/>
    </row>
    <row r="57" spans="1:147" x14ac:dyDescent="0.3">
      <c r="I57" s="31"/>
    </row>
  </sheetData>
  <sheetProtection sheet="1" objects="1" scenarios="1" insertRows="0" sort="0" autoFilter="0" pivotTables="0"/>
  <mergeCells count="1">
    <mergeCell ref="A24:B24"/>
  </mergeCells>
  <dataValidations count="12">
    <dataValidation type="decimal" allowBlank="1" showInputMessage="1" showErrorMessage="1" sqref="F43">
      <formula1>0</formula1>
      <formula2>1</formula2>
    </dataValidation>
    <dataValidation type="list" showInputMessage="1" showErrorMessage="1" sqref="C8">
      <formula1>"Quote, Estimate, SELECT ONE"</formula1>
    </dataValidation>
    <dataValidation type="list" showInputMessage="1" showErrorMessage="1" sqref="C4">
      <formula1>"T&amp;M, Fixed Price, SELECT ONE"</formula1>
    </dataValidation>
    <dataValidation type="date" operator="greaterThan" allowBlank="1" showInputMessage="1" showErrorMessage="1" sqref="E43:E44 E14:E23 E28">
      <formula1>38353</formula1>
    </dataValidation>
    <dataValidation type="decimal" allowBlank="1" showInputMessage="1" showErrorMessage="1" sqref="F28:F34">
      <formula1>0</formula1>
      <formula2>5</formula2>
    </dataValidation>
    <dataValidation type="whole" showInputMessage="1" showErrorMessage="1" sqref="B9:C9">
      <formula1>8</formula1>
      <formula2>9</formula2>
    </dataValidation>
    <dataValidation type="date" operator="greaterThanOrEqual" allowBlank="1" showInputMessage="1" showErrorMessage="1" sqref="D43:D44 D14:D23 D29:E34 D28 D45:E47">
      <formula1>38353</formula1>
    </dataValidation>
    <dataValidation type="list" showInputMessage="1" showErrorMessage="1" sqref="B10">
      <formula1>"SELECT ONE, APAC, EU, NA"</formula1>
    </dataValidation>
    <dataValidation type="list" allowBlank="1" showInputMessage="1" showErrorMessage="1" sqref="B4">
      <formula1>"T&amp;M, Fixed Price, SELECT ONE"</formula1>
    </dataValidation>
    <dataValidation type="list" allowBlank="1" showInputMessage="1" showErrorMessage="1" sqref="B8">
      <formula1>"Quote, Estimate, Select One"</formula1>
    </dataValidation>
    <dataValidation type="list" allowBlank="1" showInputMessage="1" showErrorMessage="1" sqref="C14:C23">
      <formula1>"APAC, EU, NA, SELECT ONE, ERROR"</formula1>
    </dataValidation>
    <dataValidation type="decimal" allowBlank="1" showInputMessage="1" showErrorMessage="1" sqref="F14:F23">
      <formula1>0</formula1>
      <formula2>9</formula2>
    </dataValidation>
  </dataValidations>
  <pageMargins left="0.75" right="0.75" top="1" bottom="1" header="0.5" footer="0.5"/>
  <pageSetup scale="57" fitToHeight="5" orientation="landscape"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gsrates!$A$60:$A$96</xm:f>
          </x14:formula1>
          <xm:sqref>A14:A23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rgb="FF92D050"/>
    <pageSetUpPr fitToPage="1"/>
  </sheetPr>
  <dimension ref="A1:EQ57"/>
  <sheetViews>
    <sheetView workbookViewId="0">
      <pane xSplit="2" ySplit="13" topLeftCell="D14" activePane="bottomRight" state="frozen"/>
      <selection activeCell="A5" sqref="A5:B10"/>
      <selection pane="topRight" activeCell="A5" sqref="A5:B10"/>
      <selection pane="bottomLeft" activeCell="A5" sqref="A5:B10"/>
      <selection pane="bottomRight" activeCell="B6" sqref="B6"/>
    </sheetView>
  </sheetViews>
  <sheetFormatPr defaultColWidth="9.33203125" defaultRowHeight="13.8" outlineLevelRow="1" x14ac:dyDescent="0.3"/>
  <cols>
    <col min="1" max="1" width="30.33203125" style="2" customWidth="1"/>
    <col min="2" max="2" width="15.109375" style="2" bestFit="1" customWidth="1"/>
    <col min="3" max="3" width="15.109375" style="2" hidden="1" customWidth="1"/>
    <col min="4" max="4" width="10.44140625" style="2" customWidth="1"/>
    <col min="5" max="5" width="10.77734375" style="2" customWidth="1"/>
    <col min="6" max="6" width="13" style="2" bestFit="1" customWidth="1"/>
    <col min="7" max="7" width="11" style="2" bestFit="1" customWidth="1"/>
    <col min="8" max="8" width="11" style="116" customWidth="1"/>
    <col min="9" max="9" width="12.77734375" style="2" customWidth="1"/>
    <col min="10" max="10" width="15" style="2" bestFit="1" customWidth="1"/>
    <col min="11" max="11" width="12.33203125" style="203" customWidth="1"/>
    <col min="12" max="12" width="11.44140625" style="203" customWidth="1"/>
    <col min="13" max="13" width="11.44140625" style="2" customWidth="1"/>
    <col min="14" max="14" width="10.77734375" style="31" customWidth="1"/>
    <col min="15" max="15" width="14.109375" style="203" customWidth="1"/>
    <col min="16" max="16" width="11.44140625" style="2" customWidth="1"/>
    <col min="17" max="17" width="10" style="2" customWidth="1"/>
    <col min="18" max="18" width="11.109375" style="2" customWidth="1"/>
    <col min="19" max="19" width="9.33203125" style="260"/>
    <col min="20" max="20" width="9.33203125" style="41" hidden="1" customWidth="1"/>
    <col min="21" max="21" width="9.33203125" style="41"/>
    <col min="22" max="22" width="27.6640625" style="41" bestFit="1" customWidth="1"/>
    <col min="23" max="23" width="12.109375" style="41" customWidth="1"/>
    <col min="24" max="24" width="28.109375" style="41" hidden="1" customWidth="1"/>
    <col min="25" max="147" width="9.33203125" style="41"/>
    <col min="148" max="16384" width="9.33203125" style="2"/>
  </cols>
  <sheetData>
    <row r="1" spans="1:147" x14ac:dyDescent="0.3">
      <c r="A1" s="2" t="s">
        <v>0</v>
      </c>
      <c r="B1" s="139" t="str">
        <f>IF(ISBLANK(Summary!B1)," ",Summary!B1)</f>
        <v>&lt;Enter Account Name&gt;</v>
      </c>
      <c r="C1" s="141"/>
    </row>
    <row r="2" spans="1:147" x14ac:dyDescent="0.3">
      <c r="A2" s="2" t="s">
        <v>164</v>
      </c>
      <c r="B2" s="139" t="str">
        <f>IF(ISBLANK(Summary!B3)," ",Summary!B3)</f>
        <v>NEW ECR</v>
      </c>
      <c r="C2" s="141"/>
      <c r="V2" s="42"/>
      <c r="X2" s="41" t="s">
        <v>99</v>
      </c>
    </row>
    <row r="3" spans="1:147" x14ac:dyDescent="0.3">
      <c r="A3" s="2" t="s">
        <v>2</v>
      </c>
      <c r="B3" s="2" t="s">
        <v>192</v>
      </c>
      <c r="C3" s="127"/>
      <c r="G3" s="127"/>
      <c r="H3" s="223"/>
      <c r="I3" s="127"/>
      <c r="J3" s="127"/>
      <c r="V3" s="42"/>
      <c r="X3" s="41" t="s">
        <v>100</v>
      </c>
    </row>
    <row r="4" spans="1:147" x14ac:dyDescent="0.3">
      <c r="A4" s="2" t="s">
        <v>3</v>
      </c>
      <c r="B4" s="139" t="str">
        <f>IF(ISBLANK(Summary!B5)," ",Summary!B5)</f>
        <v>Fixed Price</v>
      </c>
      <c r="C4" s="142"/>
      <c r="V4" s="42"/>
      <c r="X4" s="41" t="s">
        <v>169</v>
      </c>
    </row>
    <row r="5" spans="1:147" x14ac:dyDescent="0.3">
      <c r="A5" s="2" t="s">
        <v>150</v>
      </c>
      <c r="B5" s="99" t="str">
        <f>IF(ISBLANK(Summary!B6),"ADD on SUMMARY tab",Summary!B6)</f>
        <v>NA</v>
      </c>
      <c r="C5" s="99"/>
      <c r="G5" s="125" t="str">
        <f>IF(AND(O51&gt;0,O53=0),"Enter Total Price in N43"," ")</f>
        <v xml:space="preserve"> </v>
      </c>
      <c r="V5" s="42"/>
      <c r="X5" s="41" t="s">
        <v>101</v>
      </c>
    </row>
    <row r="6" spans="1:147" x14ac:dyDescent="0.3">
      <c r="A6" s="2" t="s">
        <v>4</v>
      </c>
      <c r="B6" s="161"/>
      <c r="C6" s="143"/>
      <c r="D6" s="4" t="str">
        <f>IF(B6&gt;MIN(D14:D34),"Staffing Starts before this date!",IF(B6&lt;MIN(D14:D34),"No staffing on start date!",""))</f>
        <v/>
      </c>
      <c r="E6"/>
      <c r="F6"/>
      <c r="G6"/>
      <c r="H6" s="117"/>
      <c r="I6"/>
      <c r="J6"/>
      <c r="K6" s="204"/>
      <c r="L6" s="204"/>
      <c r="M6"/>
      <c r="N6" s="50"/>
      <c r="O6" s="204"/>
      <c r="V6" s="42"/>
      <c r="X6" s="41" t="s">
        <v>102</v>
      </c>
    </row>
    <row r="7" spans="1:147" x14ac:dyDescent="0.3">
      <c r="A7" s="2" t="s">
        <v>5</v>
      </c>
      <c r="B7" s="88">
        <f>MAX(E14:E23)</f>
        <v>0</v>
      </c>
      <c r="C7" s="143"/>
      <c r="D7" s="4" t="str">
        <f>IF(B7&gt;MAX(E14:E34),"Staffing ends before project end date!",IF(B7&lt;MAX(E14:E34),"Staffing continues after end date!",""))</f>
        <v/>
      </c>
      <c r="E7"/>
      <c r="F7"/>
      <c r="G7"/>
      <c r="H7" s="117"/>
      <c r="I7"/>
      <c r="J7"/>
      <c r="K7" s="204"/>
      <c r="L7" s="204"/>
      <c r="M7"/>
      <c r="N7" s="50"/>
      <c r="O7" s="204"/>
      <c r="V7" s="42"/>
      <c r="X7" s="41" t="s">
        <v>103</v>
      </c>
    </row>
    <row r="8" spans="1:147" x14ac:dyDescent="0.3">
      <c r="A8" s="2" t="s">
        <v>6</v>
      </c>
      <c r="B8" s="139" t="str">
        <f>IF(ISBLANK(Summary!B9)," ",Summary!B9)</f>
        <v>Quote</v>
      </c>
      <c r="C8" s="142"/>
      <c r="E8" s="2" t="s">
        <v>160</v>
      </c>
      <c r="F8" s="89">
        <v>0.05</v>
      </c>
      <c r="V8" s="42"/>
      <c r="X8" s="41" t="s">
        <v>151</v>
      </c>
    </row>
    <row r="9" spans="1:147" x14ac:dyDescent="0.3">
      <c r="A9" s="2" t="s">
        <v>84</v>
      </c>
      <c r="B9" s="126">
        <v>8</v>
      </c>
      <c r="C9" s="144"/>
      <c r="E9" s="2" t="s">
        <v>159</v>
      </c>
      <c r="F9" s="89">
        <v>0.2</v>
      </c>
      <c r="V9" s="42"/>
      <c r="X9" s="41" t="s">
        <v>170</v>
      </c>
    </row>
    <row r="10" spans="1:147" x14ac:dyDescent="0.3">
      <c r="A10" s="2" t="s">
        <v>72</v>
      </c>
      <c r="B10" s="154" t="str">
        <f>IF(ISBLANK(Summary!B14),"SELECT ONE",Summary!B14)</f>
        <v>USD</v>
      </c>
      <c r="X10" s="41" t="s">
        <v>104</v>
      </c>
    </row>
    <row r="11" spans="1:147" x14ac:dyDescent="0.3">
      <c r="X11" s="41" t="s">
        <v>105</v>
      </c>
    </row>
    <row r="12" spans="1:147" x14ac:dyDescent="0.3">
      <c r="A12" s="3"/>
      <c r="B12" s="3"/>
      <c r="C12" s="3"/>
      <c r="D12" s="5"/>
      <c r="E12" s="5"/>
      <c r="F12" s="5"/>
      <c r="G12" s="6"/>
      <c r="H12" s="118"/>
      <c r="I12" s="6"/>
      <c r="J12" s="6"/>
      <c r="K12" s="205"/>
      <c r="L12" s="205"/>
      <c r="M12" s="6"/>
      <c r="N12" s="34" t="s">
        <v>85</v>
      </c>
      <c r="O12" s="205"/>
      <c r="P12" s="6"/>
      <c r="Q12" s="6"/>
      <c r="R12" s="6"/>
      <c r="X12" s="41" t="s">
        <v>106</v>
      </c>
    </row>
    <row r="13" spans="1:147" s="3" customFormat="1" x14ac:dyDescent="0.3">
      <c r="A13" s="12" t="s">
        <v>54</v>
      </c>
      <c r="B13" s="12" t="s">
        <v>55</v>
      </c>
      <c r="C13" s="12" t="s">
        <v>96</v>
      </c>
      <c r="D13" s="13" t="s">
        <v>56</v>
      </c>
      <c r="E13" s="13" t="s">
        <v>57</v>
      </c>
      <c r="F13" s="13" t="s">
        <v>7</v>
      </c>
      <c r="G13" s="13" t="s">
        <v>20</v>
      </c>
      <c r="H13" s="119" t="s">
        <v>83</v>
      </c>
      <c r="I13" s="35" t="s">
        <v>10</v>
      </c>
      <c r="J13" s="13" t="s">
        <v>58</v>
      </c>
      <c r="K13" s="206" t="s">
        <v>59</v>
      </c>
      <c r="L13" s="217" t="s">
        <v>31</v>
      </c>
      <c r="M13" s="13" t="s">
        <v>21</v>
      </c>
      <c r="N13" s="35" t="s">
        <v>22</v>
      </c>
      <c r="O13" s="217" t="s">
        <v>60</v>
      </c>
      <c r="P13" s="13" t="s">
        <v>32</v>
      </c>
      <c r="Q13" s="13" t="s">
        <v>23</v>
      </c>
      <c r="R13" s="13" t="s">
        <v>24</v>
      </c>
      <c r="S13" s="372"/>
      <c r="T13" s="240"/>
      <c r="U13" s="240"/>
      <c r="V13" s="240"/>
      <c r="W13" s="240"/>
      <c r="X13" s="41" t="s">
        <v>143</v>
      </c>
      <c r="Y13" s="240"/>
      <c r="Z13" s="240"/>
      <c r="AA13" s="240"/>
      <c r="AB13" s="240"/>
      <c r="AC13" s="240"/>
      <c r="AD13" s="240"/>
      <c r="AE13" s="240"/>
      <c r="AF13" s="240"/>
      <c r="AG13" s="240"/>
      <c r="AH13" s="240"/>
      <c r="AI13" s="240"/>
      <c r="AJ13" s="240"/>
      <c r="AK13" s="240"/>
      <c r="AL13" s="240"/>
      <c r="AM13" s="240"/>
      <c r="AN13" s="240"/>
      <c r="AO13" s="240"/>
      <c r="AP13" s="240"/>
      <c r="AQ13" s="240"/>
      <c r="AR13" s="240"/>
      <c r="AS13" s="240"/>
      <c r="AT13" s="240"/>
      <c r="AU13" s="240"/>
      <c r="AV13" s="240"/>
      <c r="AW13" s="240"/>
      <c r="AX13" s="240"/>
      <c r="AY13" s="240"/>
      <c r="AZ13" s="240"/>
      <c r="BA13" s="240"/>
      <c r="BB13" s="240"/>
      <c r="BC13" s="240"/>
      <c r="BD13" s="240"/>
      <c r="BE13" s="240"/>
      <c r="BF13" s="240"/>
      <c r="BG13" s="240"/>
      <c r="BH13" s="240"/>
      <c r="BI13" s="240"/>
      <c r="BJ13" s="240"/>
      <c r="BK13" s="240"/>
      <c r="BL13" s="240"/>
      <c r="BM13" s="240"/>
      <c r="BN13" s="240"/>
      <c r="BO13" s="240"/>
      <c r="BP13" s="240"/>
      <c r="BQ13" s="240"/>
      <c r="BR13" s="240"/>
      <c r="BS13" s="240"/>
      <c r="BT13" s="240"/>
      <c r="BU13" s="240"/>
      <c r="BV13" s="240"/>
      <c r="BW13" s="240"/>
      <c r="BX13" s="240"/>
      <c r="BY13" s="240"/>
      <c r="BZ13" s="240"/>
      <c r="CA13" s="240"/>
      <c r="CB13" s="240"/>
      <c r="CC13" s="240"/>
      <c r="CD13" s="240"/>
      <c r="CE13" s="240"/>
      <c r="CF13" s="240"/>
      <c r="CG13" s="240"/>
      <c r="CH13" s="240"/>
      <c r="CI13" s="240"/>
      <c r="CJ13" s="240"/>
      <c r="CK13" s="240"/>
      <c r="CL13" s="240"/>
      <c r="CM13" s="240"/>
      <c r="CN13" s="240"/>
      <c r="CO13" s="240"/>
      <c r="CP13" s="240"/>
      <c r="CQ13" s="240"/>
      <c r="CR13" s="240"/>
      <c r="CS13" s="240"/>
      <c r="CT13" s="240"/>
      <c r="CU13" s="240"/>
      <c r="CV13" s="240"/>
      <c r="CW13" s="240"/>
      <c r="CX13" s="240"/>
      <c r="CY13" s="240"/>
      <c r="CZ13" s="240"/>
      <c r="DA13" s="240"/>
      <c r="DB13" s="240"/>
      <c r="DC13" s="240"/>
      <c r="DD13" s="240"/>
      <c r="DE13" s="240"/>
      <c r="DF13" s="240"/>
      <c r="DG13" s="240"/>
      <c r="DH13" s="240"/>
      <c r="DI13" s="240"/>
      <c r="DJ13" s="240"/>
      <c r="DK13" s="240"/>
      <c r="DL13" s="240"/>
      <c r="DM13" s="240"/>
      <c r="DN13" s="240"/>
      <c r="DO13" s="240"/>
      <c r="DP13" s="240"/>
      <c r="DQ13" s="240"/>
      <c r="DR13" s="240"/>
      <c r="DS13" s="240"/>
      <c r="DT13" s="240"/>
      <c r="DU13" s="240"/>
      <c r="DV13" s="240"/>
      <c r="DW13" s="240"/>
      <c r="DX13" s="240"/>
      <c r="DY13" s="240"/>
      <c r="DZ13" s="240"/>
      <c r="EA13" s="240"/>
      <c r="EB13" s="240"/>
      <c r="EC13" s="240"/>
      <c r="ED13" s="240"/>
      <c r="EE13" s="240"/>
      <c r="EF13" s="240"/>
      <c r="EG13" s="240"/>
      <c r="EH13" s="240"/>
      <c r="EI13" s="240"/>
      <c r="EJ13" s="240"/>
      <c r="EK13" s="240"/>
      <c r="EL13" s="240"/>
      <c r="EM13" s="240"/>
      <c r="EN13" s="240"/>
      <c r="EO13" s="240"/>
      <c r="EP13" s="240"/>
      <c r="EQ13" s="240"/>
    </row>
    <row r="14" spans="1:147" outlineLevel="1" x14ac:dyDescent="0.3">
      <c r="A14" s="160" t="s">
        <v>99</v>
      </c>
      <c r="B14" s="160"/>
      <c r="C14" s="87"/>
      <c r="D14" s="161"/>
      <c r="E14" s="161"/>
      <c r="F14" s="162">
        <v>0.1</v>
      </c>
      <c r="G14" s="163">
        <f t="shared" ref="G14:G23" si="0">IF(ISBLANK(A14),"",NETWORKDAYS(D14,E14)*F14)</f>
        <v>0</v>
      </c>
      <c r="H14" s="164">
        <f t="shared" ref="H14:H23" si="1">IF(ISBLANK(A14),"",G14*$B$9)</f>
        <v>0</v>
      </c>
      <c r="I14" s="176">
        <f>IF(ISBLANK(A14),"",VLOOKUP(A14,gsrates!$A$3:$AK$38,VLOOKUP($B$5,gsrates!$A$41:$C$58,2,FALSE),FALSE))</f>
        <v>330</v>
      </c>
      <c r="J14" s="80">
        <f t="shared" ref="J14:J23" si="2">IF(ISBLANK(A14),"",H14*I14)</f>
        <v>0</v>
      </c>
      <c r="K14" s="207">
        <f>IF(ISBLANK(A14),"",VLOOKUP(A14,gsrates!$A$3:$AK$38,VLOOKUP($B$5,gsrates!$A$41:$C$58,3,FALSE),FALSE))</f>
        <v>162</v>
      </c>
      <c r="L14" s="207">
        <f t="shared" ref="L14:L23" si="3">IF(ISBLANK(A14),"",K14*G14*8)</f>
        <v>0</v>
      </c>
      <c r="M14" s="80">
        <f t="shared" ref="M14:M23" si="4">IF(ISBLANK(A14),"",J14-L14)</f>
        <v>0</v>
      </c>
      <c r="N14" s="177">
        <v>0</v>
      </c>
      <c r="O14" s="207">
        <f t="shared" ref="O14:O23" si="5">IF(ISBLANK(A14),"",G14*N14*$B$9)</f>
        <v>0</v>
      </c>
      <c r="P14" s="80">
        <f t="shared" ref="P14:P23" si="6">IF(ISBLANK(A14),"",O14-L14)</f>
        <v>0</v>
      </c>
      <c r="Q14" s="155" t="e">
        <f t="shared" ref="Q14:Q23" si="7">IF(ISBLANK(A14),"",P14/O14)</f>
        <v>#DIV/0!</v>
      </c>
      <c r="R14" s="166" t="e">
        <f t="shared" ref="R14:R23" si="8">IF(ISBLANK(A14),"",1-O14/J14)</f>
        <v>#DIV/0!</v>
      </c>
      <c r="S14" s="373">
        <f>IF(ISBLANK(A14),"",VLOOKUP(A14,gsrates!$A$3:$AL$38,38,FALSE))</f>
        <v>0</v>
      </c>
      <c r="T14" s="41" t="str">
        <f t="shared" ref="T14:T23" si="9">IF(ISBLANK(A14),"",CONCATENATE(C14,"-",$B$5))</f>
        <v>-NA</v>
      </c>
      <c r="U14" s="388">
        <f>IF(S14=1,H14,0)</f>
        <v>0</v>
      </c>
      <c r="X14" s="41" t="s">
        <v>162</v>
      </c>
    </row>
    <row r="15" spans="1:147" outlineLevel="1" x14ac:dyDescent="0.3">
      <c r="A15" s="160"/>
      <c r="B15" s="160"/>
      <c r="C15" s="87"/>
      <c r="D15" s="161"/>
      <c r="E15" s="161"/>
      <c r="F15" s="162"/>
      <c r="G15" s="163" t="str">
        <f t="shared" si="0"/>
        <v/>
      </c>
      <c r="H15" s="164" t="str">
        <f t="shared" si="1"/>
        <v/>
      </c>
      <c r="I15" s="176" t="str">
        <f>IF(ISBLANK(A15),"",VLOOKUP(A15,gsrates!$A$3:$AK$38,VLOOKUP($B$5,gsrates!$A$41:$C$58,2,FALSE),FALSE))</f>
        <v/>
      </c>
      <c r="J15" s="80" t="str">
        <f t="shared" si="2"/>
        <v/>
      </c>
      <c r="K15" s="207" t="str">
        <f>IF(ISBLANK(A15),"",VLOOKUP(A15,gsrates!$A$3:$AK$38,VLOOKUP($B$5,gsrates!$A$41:$C$58,3,FALSE),FALSE))</f>
        <v/>
      </c>
      <c r="L15" s="207" t="str">
        <f t="shared" si="3"/>
        <v/>
      </c>
      <c r="M15" s="80" t="str">
        <f t="shared" si="4"/>
        <v/>
      </c>
      <c r="N15" s="177">
        <v>0</v>
      </c>
      <c r="O15" s="207" t="str">
        <f t="shared" si="5"/>
        <v/>
      </c>
      <c r="P15" s="80" t="str">
        <f t="shared" si="6"/>
        <v/>
      </c>
      <c r="Q15" s="155" t="str">
        <f t="shared" si="7"/>
        <v/>
      </c>
      <c r="R15" s="166" t="str">
        <f t="shared" si="8"/>
        <v/>
      </c>
      <c r="S15" s="373" t="str">
        <f>IF(ISBLANK(A15),"",VLOOKUP(A15,gsrates!$A$3:$AL$38,38,FALSE))</f>
        <v/>
      </c>
      <c r="T15" s="41" t="str">
        <f t="shared" si="9"/>
        <v/>
      </c>
      <c r="U15" s="388">
        <f t="shared" ref="U15:U23" si="10">IF(S15=1,H15,0)</f>
        <v>0</v>
      </c>
    </row>
    <row r="16" spans="1:147" outlineLevel="1" x14ac:dyDescent="0.3">
      <c r="A16" s="160"/>
      <c r="B16" s="160"/>
      <c r="C16" s="87"/>
      <c r="D16" s="161"/>
      <c r="E16" s="161"/>
      <c r="F16" s="162"/>
      <c r="G16" s="163" t="str">
        <f t="shared" si="0"/>
        <v/>
      </c>
      <c r="H16" s="164" t="str">
        <f t="shared" si="1"/>
        <v/>
      </c>
      <c r="I16" s="176" t="str">
        <f>IF(ISBLANK(A16),"",VLOOKUP(A16,gsrates!$A$3:$AK$38,VLOOKUP($B$5,gsrates!$A$41:$C$58,2,FALSE),FALSE))</f>
        <v/>
      </c>
      <c r="J16" s="80" t="str">
        <f t="shared" si="2"/>
        <v/>
      </c>
      <c r="K16" s="207" t="str">
        <f>IF(ISBLANK(A16),"",VLOOKUP(A16,gsrates!$A$3:$AK$38,VLOOKUP($B$5,gsrates!$A$41:$C$58,3,FALSE),FALSE))</f>
        <v/>
      </c>
      <c r="L16" s="207" t="str">
        <f t="shared" si="3"/>
        <v/>
      </c>
      <c r="M16" s="80" t="str">
        <f t="shared" si="4"/>
        <v/>
      </c>
      <c r="N16" s="177">
        <v>0</v>
      </c>
      <c r="O16" s="207" t="str">
        <f t="shared" si="5"/>
        <v/>
      </c>
      <c r="P16" s="80" t="str">
        <f t="shared" si="6"/>
        <v/>
      </c>
      <c r="Q16" s="155" t="str">
        <f t="shared" si="7"/>
        <v/>
      </c>
      <c r="R16" s="166" t="str">
        <f t="shared" si="8"/>
        <v/>
      </c>
      <c r="S16" s="373" t="str">
        <f>IF(ISBLANK(A16),"",VLOOKUP(A16,gsrates!$A$3:$AL$38,38,FALSE))</f>
        <v/>
      </c>
      <c r="T16" s="41" t="str">
        <f t="shared" si="9"/>
        <v/>
      </c>
      <c r="U16" s="388">
        <f t="shared" si="10"/>
        <v>0</v>
      </c>
    </row>
    <row r="17" spans="1:147" outlineLevel="1" x14ac:dyDescent="0.3">
      <c r="A17" s="160"/>
      <c r="B17" s="160"/>
      <c r="C17" s="87"/>
      <c r="D17" s="161"/>
      <c r="E17" s="161"/>
      <c r="F17" s="162"/>
      <c r="G17" s="163" t="str">
        <f t="shared" si="0"/>
        <v/>
      </c>
      <c r="H17" s="164" t="str">
        <f t="shared" si="1"/>
        <v/>
      </c>
      <c r="I17" s="176" t="str">
        <f>IF(ISBLANK(A17),"",VLOOKUP(A17,gsrates!$A$3:$AK$38,VLOOKUP($B$5,gsrates!$A$41:$C$58,2,FALSE),FALSE))</f>
        <v/>
      </c>
      <c r="J17" s="80" t="str">
        <f t="shared" si="2"/>
        <v/>
      </c>
      <c r="K17" s="207" t="str">
        <f>IF(ISBLANK(A17),"",VLOOKUP(A17,gsrates!$A$3:$AK$38,VLOOKUP($B$5,gsrates!$A$41:$C$58,3,FALSE),FALSE))</f>
        <v/>
      </c>
      <c r="L17" s="207" t="str">
        <f t="shared" si="3"/>
        <v/>
      </c>
      <c r="M17" s="80" t="str">
        <f t="shared" si="4"/>
        <v/>
      </c>
      <c r="N17" s="177">
        <v>0</v>
      </c>
      <c r="O17" s="207" t="str">
        <f t="shared" si="5"/>
        <v/>
      </c>
      <c r="P17" s="80" t="str">
        <f t="shared" si="6"/>
        <v/>
      </c>
      <c r="Q17" s="155" t="str">
        <f t="shared" si="7"/>
        <v/>
      </c>
      <c r="R17" s="166" t="str">
        <f t="shared" si="8"/>
        <v/>
      </c>
      <c r="S17" s="373" t="str">
        <f>IF(ISBLANK(A17),"",VLOOKUP(A17,gsrates!$A$3:$AL$38,38,FALSE))</f>
        <v/>
      </c>
      <c r="T17" s="41" t="str">
        <f t="shared" si="9"/>
        <v/>
      </c>
      <c r="U17" s="388">
        <f t="shared" si="10"/>
        <v>0</v>
      </c>
    </row>
    <row r="18" spans="1:147" outlineLevel="1" x14ac:dyDescent="0.3">
      <c r="A18" s="160"/>
      <c r="B18" s="160"/>
      <c r="C18" s="87"/>
      <c r="D18" s="161"/>
      <c r="E18" s="161"/>
      <c r="F18" s="162"/>
      <c r="G18" s="163" t="str">
        <f t="shared" si="0"/>
        <v/>
      </c>
      <c r="H18" s="164" t="str">
        <f t="shared" si="1"/>
        <v/>
      </c>
      <c r="I18" s="176" t="str">
        <f>IF(ISBLANK(A18),"",VLOOKUP(A18,gsrates!$A$3:$AK$38,VLOOKUP($B$5,gsrates!$A$41:$C$58,2,FALSE),FALSE))</f>
        <v/>
      </c>
      <c r="J18" s="80" t="str">
        <f t="shared" si="2"/>
        <v/>
      </c>
      <c r="K18" s="207" t="str">
        <f>IF(ISBLANK(A18),"",VLOOKUP(A18,gsrates!$A$3:$AK$38,VLOOKUP($B$5,gsrates!$A$41:$C$58,3,FALSE),FALSE))</f>
        <v/>
      </c>
      <c r="L18" s="207" t="str">
        <f t="shared" si="3"/>
        <v/>
      </c>
      <c r="M18" s="80" t="str">
        <f t="shared" si="4"/>
        <v/>
      </c>
      <c r="N18" s="177">
        <v>0</v>
      </c>
      <c r="O18" s="207" t="str">
        <f t="shared" si="5"/>
        <v/>
      </c>
      <c r="P18" s="80" t="str">
        <f t="shared" si="6"/>
        <v/>
      </c>
      <c r="Q18" s="155" t="str">
        <f t="shared" si="7"/>
        <v/>
      </c>
      <c r="R18" s="166" t="str">
        <f t="shared" si="8"/>
        <v/>
      </c>
      <c r="S18" s="373" t="str">
        <f>IF(ISBLANK(A18),"",VLOOKUP(A18,gsrates!$A$3:$AL$38,38,FALSE))</f>
        <v/>
      </c>
      <c r="T18" s="41" t="str">
        <f t="shared" si="9"/>
        <v/>
      </c>
      <c r="U18" s="388">
        <f t="shared" si="10"/>
        <v>0</v>
      </c>
    </row>
    <row r="19" spans="1:147" outlineLevel="1" x14ac:dyDescent="0.3">
      <c r="A19" s="160"/>
      <c r="B19" s="160"/>
      <c r="C19" s="87"/>
      <c r="D19" s="161"/>
      <c r="E19" s="161"/>
      <c r="F19" s="162"/>
      <c r="G19" s="163" t="str">
        <f t="shared" si="0"/>
        <v/>
      </c>
      <c r="H19" s="164" t="str">
        <f t="shared" si="1"/>
        <v/>
      </c>
      <c r="I19" s="176" t="str">
        <f>IF(ISBLANK(A19),"",VLOOKUP(A19,gsrates!$A$3:$AK$38,VLOOKUP($B$5,gsrates!$A$41:$C$58,2,FALSE),FALSE))</f>
        <v/>
      </c>
      <c r="J19" s="80" t="str">
        <f t="shared" si="2"/>
        <v/>
      </c>
      <c r="K19" s="207" t="str">
        <f>IF(ISBLANK(A19),"",VLOOKUP(A19,gsrates!$A$3:$AK$38,VLOOKUP($B$5,gsrates!$A$41:$C$58,3,FALSE),FALSE))</f>
        <v/>
      </c>
      <c r="L19" s="207" t="str">
        <f t="shared" si="3"/>
        <v/>
      </c>
      <c r="M19" s="80" t="str">
        <f t="shared" si="4"/>
        <v/>
      </c>
      <c r="N19" s="177">
        <v>0</v>
      </c>
      <c r="O19" s="207" t="str">
        <f t="shared" si="5"/>
        <v/>
      </c>
      <c r="P19" s="80" t="str">
        <f t="shared" si="6"/>
        <v/>
      </c>
      <c r="Q19" s="155" t="str">
        <f t="shared" si="7"/>
        <v/>
      </c>
      <c r="R19" s="166" t="str">
        <f t="shared" si="8"/>
        <v/>
      </c>
      <c r="S19" s="373" t="str">
        <f>IF(ISBLANK(A19),"",VLOOKUP(A19,gsrates!$A$3:$AL$38,38,FALSE))</f>
        <v/>
      </c>
      <c r="T19" s="41" t="str">
        <f t="shared" si="9"/>
        <v/>
      </c>
      <c r="U19" s="388">
        <f t="shared" si="10"/>
        <v>0</v>
      </c>
    </row>
    <row r="20" spans="1:147" outlineLevel="1" x14ac:dyDescent="0.3">
      <c r="A20" s="160"/>
      <c r="B20" s="160"/>
      <c r="C20" s="87"/>
      <c r="D20" s="161"/>
      <c r="E20" s="161"/>
      <c r="F20" s="162"/>
      <c r="G20" s="163" t="str">
        <f t="shared" si="0"/>
        <v/>
      </c>
      <c r="H20" s="164" t="str">
        <f t="shared" si="1"/>
        <v/>
      </c>
      <c r="I20" s="176" t="str">
        <f>IF(ISBLANK(A20),"",VLOOKUP(A20,gsrates!$A$3:$AK$38,VLOOKUP($B$5,gsrates!$A$41:$C$58,2,FALSE),FALSE))</f>
        <v/>
      </c>
      <c r="J20" s="80" t="str">
        <f t="shared" si="2"/>
        <v/>
      </c>
      <c r="K20" s="207" t="str">
        <f>IF(ISBLANK(A20),"",VLOOKUP(A20,gsrates!$A$3:$AK$38,VLOOKUP($B$5,gsrates!$A$41:$C$58,3,FALSE),FALSE))</f>
        <v/>
      </c>
      <c r="L20" s="207" t="str">
        <f t="shared" si="3"/>
        <v/>
      </c>
      <c r="M20" s="80" t="str">
        <f t="shared" si="4"/>
        <v/>
      </c>
      <c r="N20" s="177">
        <v>0</v>
      </c>
      <c r="O20" s="207" t="str">
        <f t="shared" si="5"/>
        <v/>
      </c>
      <c r="P20" s="80" t="str">
        <f t="shared" si="6"/>
        <v/>
      </c>
      <c r="Q20" s="155" t="str">
        <f t="shared" si="7"/>
        <v/>
      </c>
      <c r="R20" s="166" t="str">
        <f t="shared" si="8"/>
        <v/>
      </c>
      <c r="S20" s="373" t="str">
        <f>IF(ISBLANK(A20),"",VLOOKUP(A20,gsrates!$A$3:$AL$38,38,FALSE))</f>
        <v/>
      </c>
      <c r="T20" s="41" t="str">
        <f t="shared" si="9"/>
        <v/>
      </c>
      <c r="U20" s="388">
        <f t="shared" si="10"/>
        <v>0</v>
      </c>
    </row>
    <row r="21" spans="1:147" outlineLevel="1" x14ac:dyDescent="0.3">
      <c r="A21" s="160"/>
      <c r="B21" s="160"/>
      <c r="C21" s="87"/>
      <c r="D21" s="161"/>
      <c r="E21" s="161"/>
      <c r="F21" s="162"/>
      <c r="G21" s="163" t="str">
        <f t="shared" si="0"/>
        <v/>
      </c>
      <c r="H21" s="164" t="str">
        <f t="shared" si="1"/>
        <v/>
      </c>
      <c r="I21" s="176" t="str">
        <f>IF(ISBLANK(A21),"",VLOOKUP(A21,gsrates!$A$3:$AK$38,VLOOKUP($B$5,gsrates!$A$41:$C$58,2,FALSE),FALSE))</f>
        <v/>
      </c>
      <c r="J21" s="80" t="str">
        <f t="shared" si="2"/>
        <v/>
      </c>
      <c r="K21" s="207" t="str">
        <f>IF(ISBLANK(A21),"",VLOOKUP(A21,gsrates!$A$3:$AK$38,VLOOKUP($B$5,gsrates!$A$41:$C$58,3,FALSE),FALSE))</f>
        <v/>
      </c>
      <c r="L21" s="207" t="str">
        <f t="shared" si="3"/>
        <v/>
      </c>
      <c r="M21" s="80" t="str">
        <f t="shared" si="4"/>
        <v/>
      </c>
      <c r="N21" s="177">
        <v>0</v>
      </c>
      <c r="O21" s="207" t="str">
        <f t="shared" si="5"/>
        <v/>
      </c>
      <c r="P21" s="80" t="str">
        <f t="shared" si="6"/>
        <v/>
      </c>
      <c r="Q21" s="155" t="str">
        <f t="shared" si="7"/>
        <v/>
      </c>
      <c r="R21" s="166" t="str">
        <f t="shared" si="8"/>
        <v/>
      </c>
      <c r="S21" s="373" t="str">
        <f>IF(ISBLANK(A21),"",VLOOKUP(A21,gsrates!$A$3:$AL$38,38,FALSE))</f>
        <v/>
      </c>
      <c r="T21" s="41" t="str">
        <f t="shared" si="9"/>
        <v/>
      </c>
      <c r="U21" s="388">
        <f t="shared" si="10"/>
        <v>0</v>
      </c>
    </row>
    <row r="22" spans="1:147" outlineLevel="1" x14ac:dyDescent="0.3">
      <c r="A22" s="160"/>
      <c r="B22" s="160"/>
      <c r="C22" s="87"/>
      <c r="D22" s="161"/>
      <c r="E22" s="161"/>
      <c r="F22" s="162"/>
      <c r="G22" s="163" t="str">
        <f t="shared" si="0"/>
        <v/>
      </c>
      <c r="H22" s="164" t="str">
        <f t="shared" si="1"/>
        <v/>
      </c>
      <c r="I22" s="176" t="str">
        <f>IF(ISBLANK(A22),"",VLOOKUP(A22,gsrates!$A$3:$AK$38,VLOOKUP($B$5,gsrates!$A$41:$C$58,2,FALSE),FALSE))</f>
        <v/>
      </c>
      <c r="J22" s="80" t="str">
        <f t="shared" si="2"/>
        <v/>
      </c>
      <c r="K22" s="207" t="str">
        <f>IF(ISBLANK(A22),"",VLOOKUP(A22,gsrates!$A$3:$AK$38,VLOOKUP($B$5,gsrates!$A$41:$C$58,3,FALSE),FALSE))</f>
        <v/>
      </c>
      <c r="L22" s="207" t="str">
        <f t="shared" si="3"/>
        <v/>
      </c>
      <c r="M22" s="80" t="str">
        <f t="shared" si="4"/>
        <v/>
      </c>
      <c r="N22" s="177">
        <v>0</v>
      </c>
      <c r="O22" s="207" t="str">
        <f t="shared" si="5"/>
        <v/>
      </c>
      <c r="P22" s="80" t="str">
        <f t="shared" si="6"/>
        <v/>
      </c>
      <c r="Q22" s="155" t="str">
        <f t="shared" si="7"/>
        <v/>
      </c>
      <c r="R22" s="166" t="str">
        <f t="shared" si="8"/>
        <v/>
      </c>
      <c r="S22" s="373" t="str">
        <f>IF(ISBLANK(A22),"",VLOOKUP(A22,gsrates!$A$3:$AL$38,38,FALSE))</f>
        <v/>
      </c>
      <c r="T22" s="41" t="str">
        <f t="shared" si="9"/>
        <v/>
      </c>
      <c r="U22" s="388">
        <f t="shared" si="10"/>
        <v>0</v>
      </c>
    </row>
    <row r="23" spans="1:147" s="11" customFormat="1" ht="14.4" outlineLevel="1" thickBot="1" x14ac:dyDescent="0.35">
      <c r="A23" s="167"/>
      <c r="B23" s="167"/>
      <c r="C23" s="167"/>
      <c r="D23" s="168"/>
      <c r="E23" s="168"/>
      <c r="F23" s="169"/>
      <c r="G23" s="170" t="str">
        <f t="shared" si="0"/>
        <v/>
      </c>
      <c r="H23" s="171" t="str">
        <f t="shared" si="1"/>
        <v/>
      </c>
      <c r="I23" s="178" t="str">
        <f>IF(ISBLANK(A23),"",VLOOKUP(A23,gsrates!$A$3:$AK$38,VLOOKUP($B$5,gsrates!$A$41:$C$58,2,FALSE),FALSE))</f>
        <v/>
      </c>
      <c r="J23" s="82" t="str">
        <f t="shared" si="2"/>
        <v/>
      </c>
      <c r="K23" s="208" t="str">
        <f>IF(ISBLANK(A23),"",VLOOKUP(A23,gsrates!$A$3:$AK$38,VLOOKUP($B$5,gsrates!$A$41:$C$58,3,FALSE),FALSE))</f>
        <v/>
      </c>
      <c r="L23" s="208" t="str">
        <f t="shared" si="3"/>
        <v/>
      </c>
      <c r="M23" s="82" t="str">
        <f t="shared" si="4"/>
        <v/>
      </c>
      <c r="N23" s="175">
        <v>0</v>
      </c>
      <c r="O23" s="208" t="str">
        <f t="shared" si="5"/>
        <v/>
      </c>
      <c r="P23" s="82" t="str">
        <f t="shared" si="6"/>
        <v/>
      </c>
      <c r="Q23" s="158" t="str">
        <f t="shared" si="7"/>
        <v/>
      </c>
      <c r="R23" s="173" t="str">
        <f t="shared" si="8"/>
        <v/>
      </c>
      <c r="S23" s="373" t="str">
        <f>IF(ISBLANK(A23),"",VLOOKUP(A23,gsrates!$A$3:$AL$38,38,FALSE))</f>
        <v/>
      </c>
      <c r="T23" s="41" t="str">
        <f t="shared" si="9"/>
        <v/>
      </c>
      <c r="U23" s="388">
        <f t="shared" si="10"/>
        <v>0</v>
      </c>
      <c r="V23" s="41"/>
      <c r="W23" s="41"/>
      <c r="X23" s="41"/>
      <c r="Y23" s="41"/>
      <c r="Z23" s="41"/>
      <c r="AA23" s="41"/>
      <c r="AB23" s="41"/>
      <c r="AC23" s="41"/>
      <c r="AD23" s="41"/>
      <c r="AE23" s="41"/>
      <c r="AF23" s="41"/>
      <c r="AG23" s="41"/>
      <c r="AH23" s="41"/>
      <c r="AI23" s="41"/>
      <c r="AJ23" s="41"/>
      <c r="AK23" s="41"/>
      <c r="AL23" s="41"/>
      <c r="AM23" s="41"/>
      <c r="AN23" s="41"/>
      <c r="AO23" s="41"/>
      <c r="AP23" s="41"/>
      <c r="AQ23" s="41"/>
      <c r="AR23" s="41"/>
      <c r="AS23" s="41"/>
      <c r="AT23" s="41"/>
      <c r="AU23" s="41"/>
      <c r="AV23" s="41"/>
      <c r="AW23" s="41"/>
      <c r="AX23" s="41"/>
      <c r="AY23" s="41"/>
      <c r="AZ23" s="41"/>
      <c r="BA23" s="41"/>
      <c r="BB23" s="41"/>
      <c r="BC23" s="41"/>
      <c r="BD23" s="41"/>
      <c r="BE23" s="41"/>
      <c r="BF23" s="41"/>
      <c r="BG23" s="41"/>
      <c r="BH23" s="41"/>
      <c r="BI23" s="41"/>
      <c r="BJ23" s="41"/>
      <c r="BK23" s="41"/>
      <c r="BL23" s="41"/>
      <c r="BM23" s="41"/>
      <c r="BN23" s="41"/>
      <c r="BO23" s="41"/>
      <c r="BP23" s="41"/>
      <c r="BQ23" s="41"/>
      <c r="BR23" s="41"/>
      <c r="BS23" s="41"/>
      <c r="BT23" s="41"/>
      <c r="BU23" s="41"/>
      <c r="BV23" s="41"/>
      <c r="BW23" s="41"/>
      <c r="BX23" s="41"/>
      <c r="BY23" s="41"/>
      <c r="BZ23" s="41"/>
      <c r="CA23" s="41"/>
      <c r="CB23" s="41"/>
      <c r="CC23" s="41"/>
      <c r="CD23" s="41"/>
      <c r="CE23" s="41"/>
      <c r="CF23" s="41"/>
      <c r="CG23" s="41"/>
      <c r="CH23" s="41"/>
      <c r="CI23" s="41"/>
      <c r="CJ23" s="41"/>
      <c r="CK23" s="41"/>
      <c r="CL23" s="41"/>
      <c r="CM23" s="41"/>
      <c r="CN23" s="41"/>
      <c r="CO23" s="41"/>
      <c r="CP23" s="41"/>
      <c r="CQ23" s="41"/>
      <c r="CR23" s="41"/>
      <c r="CS23" s="41"/>
      <c r="CT23" s="41"/>
      <c r="CU23" s="41"/>
      <c r="CV23" s="41"/>
      <c r="CW23" s="41"/>
      <c r="CX23" s="41"/>
      <c r="CY23" s="41"/>
      <c r="CZ23" s="41"/>
      <c r="DA23" s="41"/>
      <c r="DB23" s="41"/>
      <c r="DC23" s="41"/>
      <c r="DD23" s="41"/>
      <c r="DE23" s="41"/>
      <c r="DF23" s="41"/>
      <c r="DG23" s="41"/>
      <c r="DH23" s="41"/>
      <c r="DI23" s="41"/>
      <c r="DJ23" s="41"/>
      <c r="DK23" s="41"/>
      <c r="DL23" s="41"/>
      <c r="DM23" s="41"/>
      <c r="DN23" s="41"/>
      <c r="DO23" s="41"/>
      <c r="DP23" s="41"/>
      <c r="DQ23" s="41"/>
      <c r="DR23" s="41"/>
      <c r="DS23" s="41"/>
      <c r="DT23" s="41"/>
      <c r="DU23" s="41"/>
      <c r="DV23" s="41"/>
      <c r="DW23" s="41"/>
      <c r="DX23" s="41"/>
      <c r="DY23" s="41"/>
      <c r="DZ23" s="41"/>
      <c r="EA23" s="41"/>
      <c r="EB23" s="41"/>
      <c r="EC23" s="41"/>
      <c r="ED23" s="41"/>
      <c r="EE23" s="41"/>
      <c r="EF23" s="41"/>
      <c r="EG23" s="41"/>
      <c r="EH23" s="41"/>
      <c r="EI23" s="41"/>
      <c r="EJ23" s="41"/>
      <c r="EK23" s="41"/>
      <c r="EL23" s="41"/>
      <c r="EM23" s="41"/>
      <c r="EN23" s="41"/>
      <c r="EO23" s="41"/>
      <c r="EP23" s="41"/>
      <c r="EQ23" s="41"/>
    </row>
    <row r="24" spans="1:147" x14ac:dyDescent="0.3">
      <c r="A24" s="393" t="s">
        <v>11</v>
      </c>
      <c r="B24" s="393"/>
      <c r="C24" s="240"/>
      <c r="D24" s="7"/>
      <c r="E24" s="7"/>
      <c r="F24" s="8"/>
      <c r="G24" s="9">
        <f>SUM(G14:G23)</f>
        <v>0</v>
      </c>
      <c r="H24" s="9">
        <f>SUM(H14:H23)</f>
        <v>0</v>
      </c>
      <c r="I24" s="31"/>
      <c r="J24" s="36">
        <f>SUM(J14:J23)</f>
        <v>0</v>
      </c>
      <c r="K24" s="209"/>
      <c r="L24" s="209">
        <f>SUM(L14:L23)</f>
        <v>0</v>
      </c>
      <c r="M24" s="36">
        <f>SUM(M14:M23)</f>
        <v>0</v>
      </c>
      <c r="N24" s="33"/>
      <c r="O24" s="209">
        <f>SUM(O14:O23)</f>
        <v>0</v>
      </c>
      <c r="P24" s="36">
        <f>SUM(P14:P23)</f>
        <v>0</v>
      </c>
      <c r="Q24" s="15" t="str">
        <f>IF(G24=0,"",P24/O24)</f>
        <v/>
      </c>
      <c r="R24" s="8" t="str">
        <f>IF(G24=0,"",1-O24/J24)</f>
        <v/>
      </c>
      <c r="S24" s="374">
        <f>SUM(S14:S23)</f>
        <v>0</v>
      </c>
      <c r="U24" s="374">
        <f>SUM(U14:U23)</f>
        <v>0</v>
      </c>
    </row>
    <row r="25" spans="1:147" x14ac:dyDescent="0.3">
      <c r="D25" s="7"/>
      <c r="E25" s="7"/>
      <c r="F25" s="8"/>
      <c r="G25" s="9"/>
      <c r="H25" s="9"/>
      <c r="I25" s="31"/>
      <c r="J25" s="36"/>
      <c r="K25" s="209"/>
      <c r="L25" s="209"/>
      <c r="M25" s="36"/>
      <c r="N25" s="33"/>
      <c r="O25" s="209"/>
      <c r="P25" s="36"/>
      <c r="Q25" s="10"/>
      <c r="R25" s="8"/>
    </row>
    <row r="26" spans="1:147" outlineLevel="1" x14ac:dyDescent="0.3">
      <c r="B26" s="3"/>
      <c r="C26" s="3"/>
      <c r="D26" s="5"/>
      <c r="E26" s="5"/>
      <c r="F26" s="5"/>
      <c r="G26" s="6"/>
      <c r="H26" s="118"/>
      <c r="I26" s="34"/>
      <c r="J26" s="38"/>
      <c r="K26" s="210"/>
      <c r="L26" s="210"/>
      <c r="M26" s="38"/>
      <c r="N26" s="34"/>
      <c r="O26" s="210"/>
      <c r="P26" s="38"/>
      <c r="Q26" s="6"/>
      <c r="R26" s="6"/>
    </row>
    <row r="27" spans="1:147" outlineLevel="1" x14ac:dyDescent="0.3">
      <c r="A27" s="12" t="s">
        <v>12</v>
      </c>
      <c r="B27" s="12" t="s">
        <v>55</v>
      </c>
      <c r="C27" s="12"/>
      <c r="D27" s="13" t="s">
        <v>56</v>
      </c>
      <c r="E27" s="13" t="s">
        <v>57</v>
      </c>
      <c r="F27" s="13" t="s">
        <v>7</v>
      </c>
      <c r="G27" s="13" t="s">
        <v>20</v>
      </c>
      <c r="H27" s="119" t="s">
        <v>83</v>
      </c>
      <c r="I27" s="40" t="s">
        <v>10</v>
      </c>
      <c r="J27" s="13" t="s">
        <v>58</v>
      </c>
      <c r="K27" s="206" t="s">
        <v>59</v>
      </c>
      <c r="L27" s="218" t="s">
        <v>31</v>
      </c>
      <c r="M27" s="39" t="s">
        <v>21</v>
      </c>
      <c r="N27" s="35" t="s">
        <v>22</v>
      </c>
      <c r="O27" s="218" t="s">
        <v>60</v>
      </c>
      <c r="P27" s="13" t="s">
        <v>32</v>
      </c>
      <c r="Q27" s="13" t="s">
        <v>23</v>
      </c>
      <c r="R27" s="13" t="s">
        <v>24</v>
      </c>
    </row>
    <row r="28" spans="1:147" outlineLevel="1" x14ac:dyDescent="0.3">
      <c r="A28" s="87"/>
      <c r="B28" s="87"/>
      <c r="C28" s="87"/>
      <c r="D28" s="88"/>
      <c r="E28" s="88"/>
      <c r="F28" s="162"/>
      <c r="G28" s="9" t="str">
        <f t="shared" ref="G28:G34" si="11">IF(ISBLANK(A28),"",NETWORKDAYS(D28,E28)*F28)</f>
        <v/>
      </c>
      <c r="H28" s="120" t="str">
        <f t="shared" ref="H28:H34" si="12">IF(ISBLANK(A28),"",G28*$B$9)</f>
        <v/>
      </c>
      <c r="I28" s="90"/>
      <c r="J28" s="36" t="str">
        <f t="shared" ref="J28:J34" si="13">IF(ISBLANK(A28),"",H28*I28)</f>
        <v/>
      </c>
      <c r="K28" s="211"/>
      <c r="L28" s="219" t="str">
        <f t="shared" ref="L28:L34" si="14">IF(ISBLANK(A28)," ",(K28*G28*$B$9))</f>
        <v xml:space="preserve"> </v>
      </c>
      <c r="M28" s="36" t="str">
        <f>IF(ISBLANK(A28),"",(I28*G28*8)-L28)</f>
        <v/>
      </c>
      <c r="N28" s="90"/>
      <c r="O28" s="209" t="str">
        <f t="shared" ref="O28:O34" si="15">IF(ISBLANK(A28),"",G28*N28*$B$9)</f>
        <v/>
      </c>
      <c r="P28" s="36" t="str">
        <f t="shared" ref="P28:P34" si="16">IF(ISBLANK(A28),"",O28-L28)</f>
        <v/>
      </c>
      <c r="Q28" s="15" t="str">
        <f t="shared" ref="Q28:Q34" si="17">IF(ISBLANK(A28),"",P28/O28)</f>
        <v/>
      </c>
      <c r="R28" s="8" t="str">
        <f t="shared" ref="R28:R34" si="18">IF(ISBLANK(A28),"",1-O28/J28)</f>
        <v/>
      </c>
      <c r="T28" s="41" t="str">
        <f t="shared" ref="T28:T34" si="19">IF(ISBLANK(A28),"",CONCATENATE(C28,"-",$B$5))</f>
        <v/>
      </c>
      <c r="X28" s="240"/>
    </row>
    <row r="29" spans="1:147" outlineLevel="1" x14ac:dyDescent="0.3">
      <c r="A29" s="87"/>
      <c r="B29" s="87"/>
      <c r="C29" s="87"/>
      <c r="D29" s="88"/>
      <c r="E29" s="88"/>
      <c r="F29" s="162"/>
      <c r="G29" s="9" t="str">
        <f t="shared" si="11"/>
        <v/>
      </c>
      <c r="H29" s="120" t="str">
        <f t="shared" si="12"/>
        <v/>
      </c>
      <c r="I29" s="90"/>
      <c r="J29" s="36" t="str">
        <f t="shared" si="13"/>
        <v/>
      </c>
      <c r="K29" s="211"/>
      <c r="L29" s="219" t="str">
        <f t="shared" si="14"/>
        <v xml:space="preserve"> </v>
      </c>
      <c r="M29" s="36" t="str">
        <f t="shared" ref="M29:M34" si="20">IF(ISBLANK(A29),"",J29-L29)</f>
        <v/>
      </c>
      <c r="N29" s="90"/>
      <c r="O29" s="209" t="str">
        <f t="shared" si="15"/>
        <v/>
      </c>
      <c r="P29" s="36" t="str">
        <f t="shared" si="16"/>
        <v/>
      </c>
      <c r="Q29" s="15" t="str">
        <f t="shared" si="17"/>
        <v/>
      </c>
      <c r="R29" s="8" t="str">
        <f t="shared" si="18"/>
        <v/>
      </c>
      <c r="T29" s="41" t="str">
        <f t="shared" si="19"/>
        <v/>
      </c>
    </row>
    <row r="30" spans="1:147" outlineLevel="1" x14ac:dyDescent="0.3">
      <c r="A30" s="87"/>
      <c r="B30" s="87"/>
      <c r="C30" s="87"/>
      <c r="D30" s="88"/>
      <c r="E30" s="88"/>
      <c r="F30" s="162"/>
      <c r="G30" s="9" t="str">
        <f t="shared" si="11"/>
        <v/>
      </c>
      <c r="H30" s="120" t="str">
        <f t="shared" si="12"/>
        <v/>
      </c>
      <c r="I30" s="90"/>
      <c r="J30" s="36" t="str">
        <f t="shared" si="13"/>
        <v/>
      </c>
      <c r="K30" s="211"/>
      <c r="L30" s="219" t="str">
        <f t="shared" si="14"/>
        <v xml:space="preserve"> </v>
      </c>
      <c r="M30" s="36" t="str">
        <f t="shared" si="20"/>
        <v/>
      </c>
      <c r="N30" s="90"/>
      <c r="O30" s="209" t="str">
        <f t="shared" si="15"/>
        <v/>
      </c>
      <c r="P30" s="36" t="str">
        <f t="shared" si="16"/>
        <v/>
      </c>
      <c r="Q30" s="15" t="str">
        <f t="shared" si="17"/>
        <v/>
      </c>
      <c r="R30" s="8" t="str">
        <f t="shared" si="18"/>
        <v/>
      </c>
      <c r="T30" s="41" t="str">
        <f t="shared" si="19"/>
        <v/>
      </c>
    </row>
    <row r="31" spans="1:147" outlineLevel="1" x14ac:dyDescent="0.3">
      <c r="A31" s="87"/>
      <c r="B31" s="87"/>
      <c r="C31" s="87"/>
      <c r="D31" s="88"/>
      <c r="E31" s="88"/>
      <c r="F31" s="162"/>
      <c r="G31" s="9" t="str">
        <f t="shared" si="11"/>
        <v/>
      </c>
      <c r="H31" s="120" t="str">
        <f t="shared" si="12"/>
        <v/>
      </c>
      <c r="I31" s="90"/>
      <c r="J31" s="36" t="str">
        <f t="shared" si="13"/>
        <v/>
      </c>
      <c r="K31" s="211"/>
      <c r="L31" s="219" t="str">
        <f t="shared" si="14"/>
        <v xml:space="preserve"> </v>
      </c>
      <c r="M31" s="36" t="str">
        <f t="shared" si="20"/>
        <v/>
      </c>
      <c r="N31" s="90"/>
      <c r="O31" s="209" t="str">
        <f t="shared" si="15"/>
        <v/>
      </c>
      <c r="P31" s="36" t="str">
        <f t="shared" si="16"/>
        <v/>
      </c>
      <c r="Q31" s="15" t="str">
        <f t="shared" si="17"/>
        <v/>
      </c>
      <c r="R31" s="8" t="str">
        <f t="shared" si="18"/>
        <v/>
      </c>
      <c r="T31" s="41" t="str">
        <f t="shared" si="19"/>
        <v/>
      </c>
    </row>
    <row r="32" spans="1:147" outlineLevel="1" x14ac:dyDescent="0.3">
      <c r="A32" s="87"/>
      <c r="B32" s="87"/>
      <c r="C32" s="87"/>
      <c r="D32" s="88"/>
      <c r="E32" s="88"/>
      <c r="F32" s="162"/>
      <c r="G32" s="9" t="str">
        <f t="shared" si="11"/>
        <v/>
      </c>
      <c r="H32" s="120" t="str">
        <f t="shared" si="12"/>
        <v/>
      </c>
      <c r="I32" s="90"/>
      <c r="J32" s="36" t="str">
        <f t="shared" si="13"/>
        <v/>
      </c>
      <c r="K32" s="211"/>
      <c r="L32" s="219" t="str">
        <f t="shared" si="14"/>
        <v xml:space="preserve"> </v>
      </c>
      <c r="M32" s="36" t="str">
        <f t="shared" si="20"/>
        <v/>
      </c>
      <c r="N32" s="90"/>
      <c r="O32" s="209" t="str">
        <f t="shared" si="15"/>
        <v/>
      </c>
      <c r="P32" s="36" t="str">
        <f t="shared" si="16"/>
        <v/>
      </c>
      <c r="Q32" s="15" t="str">
        <f t="shared" si="17"/>
        <v/>
      </c>
      <c r="R32" s="8" t="str">
        <f t="shared" si="18"/>
        <v/>
      </c>
      <c r="T32" s="41" t="str">
        <f t="shared" si="19"/>
        <v/>
      </c>
    </row>
    <row r="33" spans="1:147" outlineLevel="1" x14ac:dyDescent="0.3">
      <c r="A33" s="87"/>
      <c r="B33" s="87"/>
      <c r="C33" s="87"/>
      <c r="D33" s="88"/>
      <c r="E33" s="88"/>
      <c r="F33" s="162"/>
      <c r="G33" s="9" t="str">
        <f t="shared" si="11"/>
        <v/>
      </c>
      <c r="H33" s="120" t="str">
        <f t="shared" si="12"/>
        <v/>
      </c>
      <c r="I33" s="90"/>
      <c r="J33" s="36" t="str">
        <f t="shared" si="13"/>
        <v/>
      </c>
      <c r="K33" s="211"/>
      <c r="L33" s="219" t="str">
        <f t="shared" si="14"/>
        <v xml:space="preserve"> </v>
      </c>
      <c r="M33" s="36" t="str">
        <f t="shared" si="20"/>
        <v/>
      </c>
      <c r="N33" s="90"/>
      <c r="O33" s="209" t="str">
        <f t="shared" si="15"/>
        <v/>
      </c>
      <c r="P33" s="36" t="str">
        <f t="shared" si="16"/>
        <v/>
      </c>
      <c r="Q33" s="15" t="str">
        <f t="shared" si="17"/>
        <v/>
      </c>
      <c r="R33" s="8" t="str">
        <f t="shared" si="18"/>
        <v/>
      </c>
      <c r="T33" s="41" t="str">
        <f t="shared" si="19"/>
        <v/>
      </c>
    </row>
    <row r="34" spans="1:147" s="11" customFormat="1" ht="14.4" outlineLevel="1" thickBot="1" x14ac:dyDescent="0.35">
      <c r="A34" s="167"/>
      <c r="B34" s="167"/>
      <c r="C34" s="167"/>
      <c r="D34" s="168"/>
      <c r="E34" s="168"/>
      <c r="F34" s="169"/>
      <c r="G34" s="170" t="str">
        <f t="shared" si="11"/>
        <v/>
      </c>
      <c r="H34" s="171" t="str">
        <f t="shared" si="12"/>
        <v/>
      </c>
      <c r="I34" s="175"/>
      <c r="J34" s="82" t="str">
        <f t="shared" si="13"/>
        <v/>
      </c>
      <c r="K34" s="212"/>
      <c r="L34" s="220" t="str">
        <f t="shared" si="14"/>
        <v xml:space="preserve"> </v>
      </c>
      <c r="M34" s="82" t="str">
        <f t="shared" si="20"/>
        <v/>
      </c>
      <c r="N34" s="175"/>
      <c r="O34" s="208" t="str">
        <f t="shared" si="15"/>
        <v/>
      </c>
      <c r="P34" s="82" t="str">
        <f t="shared" si="16"/>
        <v/>
      </c>
      <c r="Q34" s="158" t="str">
        <f t="shared" si="17"/>
        <v/>
      </c>
      <c r="R34" s="173" t="str">
        <f t="shared" si="18"/>
        <v/>
      </c>
      <c r="S34" s="375"/>
      <c r="T34" s="41" t="str">
        <f t="shared" si="19"/>
        <v/>
      </c>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J34" s="41"/>
      <c r="BK34" s="41"/>
      <c r="BL34" s="41"/>
      <c r="BM34" s="41"/>
      <c r="BN34" s="41"/>
      <c r="BO34" s="41"/>
      <c r="BP34" s="41"/>
      <c r="BQ34" s="41"/>
      <c r="BR34" s="41"/>
      <c r="BS34" s="41"/>
      <c r="BT34" s="41"/>
      <c r="BU34" s="41"/>
      <c r="BV34" s="41"/>
      <c r="BW34" s="41"/>
      <c r="BX34" s="41"/>
      <c r="BY34" s="41"/>
      <c r="BZ34" s="41"/>
      <c r="CA34" s="41"/>
      <c r="CB34" s="41"/>
      <c r="CC34" s="41"/>
      <c r="CD34" s="41"/>
      <c r="CE34" s="41"/>
      <c r="CF34" s="41"/>
      <c r="CG34" s="41"/>
      <c r="CH34" s="41"/>
      <c r="CI34" s="41"/>
      <c r="CJ34" s="41"/>
      <c r="CK34" s="41"/>
      <c r="CL34" s="41"/>
      <c r="CM34" s="41"/>
      <c r="CN34" s="41"/>
      <c r="CO34" s="41"/>
      <c r="CP34" s="41"/>
      <c r="CQ34" s="41"/>
      <c r="CR34" s="41"/>
      <c r="CS34" s="41"/>
      <c r="CT34" s="41"/>
      <c r="CU34" s="41"/>
      <c r="CV34" s="41"/>
      <c r="CW34" s="41"/>
      <c r="CX34" s="41"/>
      <c r="CY34" s="41"/>
      <c r="CZ34" s="41"/>
      <c r="DA34" s="41"/>
      <c r="DB34" s="41"/>
      <c r="DC34" s="41"/>
      <c r="DD34" s="41"/>
      <c r="DE34" s="41"/>
      <c r="DF34" s="41"/>
      <c r="DG34" s="41"/>
      <c r="DH34" s="41"/>
      <c r="DI34" s="41"/>
      <c r="DJ34" s="41"/>
      <c r="DK34" s="41"/>
      <c r="DL34" s="41"/>
      <c r="DM34" s="41"/>
      <c r="DN34" s="41"/>
      <c r="DO34" s="41"/>
      <c r="DP34" s="41"/>
      <c r="DQ34" s="41"/>
      <c r="DR34" s="41"/>
      <c r="DS34" s="41"/>
      <c r="DT34" s="41"/>
      <c r="DU34" s="41"/>
      <c r="DV34" s="41"/>
      <c r="DW34" s="41"/>
      <c r="DX34" s="41"/>
      <c r="DY34" s="41"/>
      <c r="DZ34" s="41"/>
      <c r="EA34" s="41"/>
      <c r="EB34" s="41"/>
      <c r="EC34" s="41"/>
      <c r="ED34" s="41"/>
      <c r="EE34" s="41"/>
      <c r="EF34" s="41"/>
      <c r="EG34" s="41"/>
      <c r="EH34" s="41"/>
      <c r="EI34" s="41"/>
      <c r="EJ34" s="41"/>
      <c r="EK34" s="41"/>
      <c r="EL34" s="41"/>
      <c r="EM34" s="41"/>
      <c r="EN34" s="41"/>
      <c r="EO34" s="41"/>
      <c r="EP34" s="41"/>
      <c r="EQ34" s="41"/>
    </row>
    <row r="35" spans="1:147" x14ac:dyDescent="0.3">
      <c r="A35" s="3" t="s">
        <v>13</v>
      </c>
      <c r="G35" s="9">
        <f>SUM(G28:G34)</f>
        <v>0</v>
      </c>
      <c r="H35" s="9">
        <f>SUM(H28:H34)</f>
        <v>0</v>
      </c>
      <c r="I35" s="31"/>
      <c r="J35" s="36">
        <f>SUM(J28:J34)</f>
        <v>0</v>
      </c>
      <c r="K35" s="209"/>
      <c r="L35" s="209">
        <f>SUM(L28:L34)</f>
        <v>0</v>
      </c>
      <c r="M35" s="36">
        <f>SUM(M28:M34)</f>
        <v>0</v>
      </c>
      <c r="N35" s="33"/>
      <c r="O35" s="209">
        <f>SUM(O28:O34)</f>
        <v>0</v>
      </c>
      <c r="P35" s="36">
        <f>SUM(P28:P34)</f>
        <v>0</v>
      </c>
      <c r="Q35" s="15">
        <f>IF(ISBLANK(A35),"",IF(O35&gt;0,P35/O35,0))</f>
        <v>0</v>
      </c>
      <c r="R35" s="8">
        <f>IF(ISBLANK(A35),"",IF(J35&gt;0,1-O35/J35,1))</f>
        <v>1</v>
      </c>
    </row>
    <row r="36" spans="1:147" x14ac:dyDescent="0.3">
      <c r="I36" s="31"/>
      <c r="J36" s="36"/>
      <c r="K36" s="209"/>
      <c r="L36" s="209"/>
      <c r="M36" s="36"/>
      <c r="O36" s="209"/>
      <c r="P36" s="36"/>
    </row>
    <row r="37" spans="1:147" x14ac:dyDescent="0.3">
      <c r="A37" s="3" t="s">
        <v>14</v>
      </c>
      <c r="G37" s="17">
        <f>IF($B$4="Fixed Price",RISK!$L$10*(G24+G35),RISK!$N$10*(G24+G35))</f>
        <v>0</v>
      </c>
      <c r="H37" s="120">
        <f>IF(ISBLANK(B6),0,G37*B9)</f>
        <v>0</v>
      </c>
      <c r="I37" s="33"/>
      <c r="J37" s="51">
        <f>IF($B$4="Fixed Price",RISK!$L$10*(J24+J35),RISK!$N$10*(J24+J35))</f>
        <v>0</v>
      </c>
      <c r="K37" s="209"/>
      <c r="L37" s="51">
        <f>IF($B$4="Fixed Price",RISK!$L$10*(L24+L35),RISK!$N$10*(L24+L35))</f>
        <v>0</v>
      </c>
      <c r="M37" s="51">
        <f>IF($B$4="Fixed Price",RISK!$L$10*(M24+M35),RISK!$N$10*(M24+M35))</f>
        <v>0</v>
      </c>
      <c r="O37" s="51">
        <f>IF($B$4="Fixed Price",RISK!$L$10*(O24+O35),RISK!$N$10*(O24+O35))</f>
        <v>0</v>
      </c>
      <c r="P37" s="51">
        <f>IF($B$4="Fixed Price",RISK!$L$10*(P24+P35),RISK!$N$10*(P24+P35))</f>
        <v>0</v>
      </c>
      <c r="Q37" s="15" t="str">
        <f>IF(G37=0,"",P37/O37)</f>
        <v/>
      </c>
      <c r="R37" s="8" t="str">
        <f>IF(G37=0,"",1-O37/J37)</f>
        <v/>
      </c>
    </row>
    <row r="38" spans="1:147" x14ac:dyDescent="0.3">
      <c r="A38" s="3" t="s">
        <v>173</v>
      </c>
      <c r="G38" s="17">
        <f>IF($B$4="Fixed Price",RISK!$M$10*(G24+G35)+RISK!$O$10*(G24+G35),0)</f>
        <v>0</v>
      </c>
      <c r="H38" s="120">
        <f>IF(ISBLANK(B6),0,G38*B9)</f>
        <v>0</v>
      </c>
      <c r="I38" s="33"/>
      <c r="J38" s="17">
        <f>IF($B$4="Fixed Price",RISK!$M$10*(J24+J35)+RISK!$O$10*(J24+J35),0)</f>
        <v>0</v>
      </c>
      <c r="K38" s="209"/>
      <c r="L38" s="17">
        <f>IF($B$4="Fixed Price",RISK!$M$10*(L24+L35)+RISK!$O$10*(L24+L35),0)</f>
        <v>0</v>
      </c>
      <c r="M38" s="17">
        <f>IF($B$4="Fixed Price",RISK!$M$10*(M24+M35)+RISK!$O$10*(M24+M35),0)</f>
        <v>0</v>
      </c>
      <c r="O38" s="17">
        <f>IF($B$4="Fixed Price",RISK!$M$10*(O24+O35)+RISK!$O$10*(O24+O35),0)</f>
        <v>0</v>
      </c>
      <c r="P38" s="17">
        <f>IF($B$4="Fixed Price",RISK!$M$10*(P24+P35)+RISK!$O$10*(P24+P35),0)</f>
        <v>0</v>
      </c>
      <c r="Q38" s="15" t="str">
        <f>IF(G38=0,"",P38/O38)</f>
        <v/>
      </c>
      <c r="R38" s="8" t="str">
        <f>IF(G38=0,"",1-O38/J38)</f>
        <v/>
      </c>
    </row>
    <row r="39" spans="1:147" x14ac:dyDescent="0.3">
      <c r="A39" s="3" t="s">
        <v>172</v>
      </c>
      <c r="G39" s="17">
        <f>IF($B$4="T&amp;M",RISK!$O$10*(G24+G35),0)</f>
        <v>0</v>
      </c>
      <c r="H39" s="120">
        <f>IF(ISBLANK(B6),0,G39*B9)</f>
        <v>0</v>
      </c>
      <c r="I39" s="33"/>
      <c r="J39" s="17">
        <f>IF($B$4="T&amp;M",RISK!$O$10*(J24+J35),0)</f>
        <v>0</v>
      </c>
      <c r="K39" s="209"/>
      <c r="L39" s="17">
        <f>IF($B$4="T&amp;M",RISK!$O$10*(L24+L35),0)</f>
        <v>0</v>
      </c>
      <c r="M39" s="17">
        <f>IF($B$4="T&amp;M",RISK!$O$10*(M24+M35),0)</f>
        <v>0</v>
      </c>
      <c r="O39" s="17">
        <f>IF($B$4="T&amp;M",RISK!$O$10*(O24+O35),0)</f>
        <v>0</v>
      </c>
      <c r="P39" s="17">
        <f>IF($B$4="T&amp;M",RISK!$O$10*(P24+P35),0)</f>
        <v>0</v>
      </c>
      <c r="Q39" s="15" t="str">
        <f>IF(G39=0,"",P39/O39)</f>
        <v/>
      </c>
      <c r="R39" s="8" t="str">
        <f>IF(G39=0,"",1-O39/J39)</f>
        <v/>
      </c>
    </row>
    <row r="40" spans="1:147" x14ac:dyDescent="0.3">
      <c r="A40" s="3" t="s">
        <v>147</v>
      </c>
      <c r="G40" s="17">
        <f>G24+G35+G37+G38+G39</f>
        <v>0</v>
      </c>
      <c r="H40" s="17">
        <f>H24+H35+H37+H38+H39</f>
        <v>0</v>
      </c>
      <c r="I40" s="33"/>
      <c r="J40" s="17">
        <f>J24+J35+J37+J38+J39</f>
        <v>0</v>
      </c>
      <c r="K40" s="209"/>
      <c r="L40" s="17">
        <f>L24+L35+L37+L38+L39</f>
        <v>0</v>
      </c>
      <c r="M40" s="17">
        <f>M24+M35+M37+M39+M50+M38</f>
        <v>0</v>
      </c>
      <c r="O40" s="17">
        <f>O24+O35+O37+O38+O39</f>
        <v>0</v>
      </c>
      <c r="P40" s="17">
        <f>P24+P35+P37+P39+P50+P38</f>
        <v>0</v>
      </c>
      <c r="Q40" s="15">
        <f>IF(ISBLANK(A40),"",IF(O40&gt;0,P40/O40,0))</f>
        <v>0</v>
      </c>
      <c r="R40" s="8"/>
    </row>
    <row r="41" spans="1:147" x14ac:dyDescent="0.3">
      <c r="A41" s="3"/>
      <c r="G41" s="17"/>
      <c r="H41" s="120"/>
      <c r="I41" s="33"/>
      <c r="J41" s="51"/>
      <c r="K41" s="209"/>
      <c r="L41" s="51"/>
      <c r="M41" s="51"/>
      <c r="O41" s="51"/>
      <c r="P41" s="51"/>
      <c r="Q41" s="15"/>
      <c r="R41" s="8"/>
    </row>
    <row r="42" spans="1:147" hidden="1" outlineLevel="1" x14ac:dyDescent="0.3">
      <c r="A42" s="12" t="s">
        <v>145</v>
      </c>
      <c r="B42" s="12"/>
      <c r="C42" s="12"/>
      <c r="D42" s="13" t="s">
        <v>56</v>
      </c>
      <c r="E42" s="13" t="s">
        <v>57</v>
      </c>
      <c r="F42" s="13" t="s">
        <v>149</v>
      </c>
      <c r="G42" s="13" t="s">
        <v>20</v>
      </c>
      <c r="H42" s="119" t="s">
        <v>83</v>
      </c>
      <c r="I42" s="40" t="s">
        <v>10</v>
      </c>
      <c r="J42" s="13" t="s">
        <v>58</v>
      </c>
      <c r="K42" s="206"/>
      <c r="L42" s="218" t="s">
        <v>31</v>
      </c>
      <c r="M42" s="39" t="s">
        <v>21</v>
      </c>
      <c r="N42" s="35" t="s">
        <v>22</v>
      </c>
      <c r="O42" s="218" t="s">
        <v>60</v>
      </c>
      <c r="P42" s="13" t="s">
        <v>32</v>
      </c>
      <c r="Q42" s="13"/>
      <c r="R42" s="13"/>
    </row>
    <row r="43" spans="1:147" hidden="1" outlineLevel="1" x14ac:dyDescent="0.3">
      <c r="A43" s="160"/>
      <c r="B43" s="160"/>
      <c r="C43" s="160"/>
      <c r="D43" s="161"/>
      <c r="E43" s="161"/>
      <c r="F43" s="162"/>
      <c r="G43" s="163" t="str">
        <f>IF(ISBLANK(A43),"",NETWORKDAYS(D43,E43)*F43)</f>
        <v/>
      </c>
      <c r="H43" s="164" t="str">
        <f>IF(ISBLANK(A43),"",G43*$B$9)</f>
        <v/>
      </c>
      <c r="I43" s="165">
        <v>0</v>
      </c>
      <c r="J43" s="80" t="str">
        <f>IF(ISBLANK(A43),"",H43*I43)</f>
        <v/>
      </c>
      <c r="K43" s="213">
        <v>0</v>
      </c>
      <c r="L43" s="221" t="str">
        <f>IF(ISBLANK(A43)," ",(K43*G43*$B$9))</f>
        <v xml:space="preserve"> </v>
      </c>
      <c r="M43" s="80" t="str">
        <f>IF(ISBLANK(A43),"",(I43*G43*8)-L43)</f>
        <v/>
      </c>
      <c r="N43" s="165">
        <v>0</v>
      </c>
      <c r="O43" s="207" t="str">
        <f>IF(ISBLANK(A43),"",G43*N43*$B$9)</f>
        <v/>
      </c>
      <c r="P43" s="80" t="str">
        <f>IF(ISBLANK(A43),"",O43-L43)</f>
        <v/>
      </c>
      <c r="Q43" s="155"/>
      <c r="R43" s="166"/>
      <c r="S43" s="376"/>
      <c r="T43" s="41" t="str">
        <f>IF(ISBLANK(A43),"",CONCATENATE(C43,"-",$B$5))</f>
        <v/>
      </c>
      <c r="X43" s="240"/>
    </row>
    <row r="44" spans="1:147" hidden="1" outlineLevel="1" x14ac:dyDescent="0.3">
      <c r="A44" s="160"/>
      <c r="B44" s="160"/>
      <c r="C44" s="160"/>
      <c r="D44" s="161"/>
      <c r="E44" s="161"/>
      <c r="F44" s="162"/>
      <c r="G44" s="163" t="str">
        <f>IF(ISBLANK(A44),"",NETWORKDAYS(D44,E44)*F44)</f>
        <v/>
      </c>
      <c r="H44" s="164" t="str">
        <f>IF(ISBLANK(A44),"",G44*$B$9)</f>
        <v/>
      </c>
      <c r="I44" s="165">
        <v>0</v>
      </c>
      <c r="J44" s="80" t="str">
        <f>IF(ISBLANK(A44),"",H44*I44)</f>
        <v/>
      </c>
      <c r="K44" s="213">
        <v>0</v>
      </c>
      <c r="L44" s="221" t="str">
        <f>IF(ISBLANK(A44)," ",(K44*G44*$B$9))</f>
        <v xml:space="preserve"> </v>
      </c>
      <c r="M44" s="80" t="str">
        <f>IF(ISBLANK(A44),"",J44-L44)</f>
        <v/>
      </c>
      <c r="N44" s="165">
        <v>0</v>
      </c>
      <c r="O44" s="207" t="str">
        <f>IF(ISBLANK(A44),"",G44*N44*$B$9)</f>
        <v/>
      </c>
      <c r="P44" s="80" t="str">
        <f>IF(ISBLANK(A44),"",O44-L44)</f>
        <v/>
      </c>
      <c r="Q44" s="155"/>
      <c r="R44" s="166"/>
      <c r="S44" s="376"/>
      <c r="T44" s="41" t="str">
        <f>IF(ISBLANK(A44),"",CONCATENATE(C44,"-",$B$5))</f>
        <v/>
      </c>
    </row>
    <row r="45" spans="1:147" hidden="1" outlineLevel="1" x14ac:dyDescent="0.3">
      <c r="A45" s="160"/>
      <c r="B45" s="160"/>
      <c r="C45" s="160"/>
      <c r="D45" s="161"/>
      <c r="E45" s="161"/>
      <c r="F45" s="162"/>
      <c r="G45" s="163" t="str">
        <f>IF(ISBLANK(A45),"",NETWORKDAYS(D45,E45)*F45)</f>
        <v/>
      </c>
      <c r="H45" s="164" t="str">
        <f>IF(ISBLANK(A45),"",G45*$B$9)</f>
        <v/>
      </c>
      <c r="I45" s="165">
        <v>0</v>
      </c>
      <c r="J45" s="80" t="str">
        <f>IF(ISBLANK(A45),"",H45*I45)</f>
        <v/>
      </c>
      <c r="K45" s="213">
        <v>0</v>
      </c>
      <c r="L45" s="221" t="str">
        <f>IF(ISBLANK(A45)," ",(K45*G45*$B$9))</f>
        <v xml:space="preserve"> </v>
      </c>
      <c r="M45" s="80" t="str">
        <f>IF(ISBLANK(A45),"",J45-L45)</f>
        <v/>
      </c>
      <c r="N45" s="165">
        <v>0</v>
      </c>
      <c r="O45" s="207" t="str">
        <f>IF(ISBLANK(A45),"",G45*N45*$B$9)</f>
        <v/>
      </c>
      <c r="P45" s="80" t="str">
        <f>IF(ISBLANK(A45),"",O45-L45)</f>
        <v/>
      </c>
      <c r="Q45" s="155" t="str">
        <f>IF(ISBLANK(A45),"",P45/O45)</f>
        <v/>
      </c>
      <c r="R45" s="166" t="str">
        <f>IF(ISBLANK(A45),"",1-O45/J45)</f>
        <v/>
      </c>
      <c r="S45" s="376"/>
      <c r="T45" s="41" t="str">
        <f>IF(ISBLANK(A45),"",CONCATENATE(C45,"-",$B$5))</f>
        <v/>
      </c>
    </row>
    <row r="46" spans="1:147" hidden="1" outlineLevel="1" x14ac:dyDescent="0.3">
      <c r="A46" s="160"/>
      <c r="B46" s="160"/>
      <c r="C46" s="160"/>
      <c r="D46" s="161"/>
      <c r="E46" s="161"/>
      <c r="F46" s="162"/>
      <c r="G46" s="163" t="str">
        <f>IF(ISBLANK(A46),"",NETWORKDAYS(D46,E46)*F46)</f>
        <v/>
      </c>
      <c r="H46" s="164" t="str">
        <f>IF(ISBLANK(A46),"",G46*$B$9)</f>
        <v/>
      </c>
      <c r="I46" s="165">
        <v>0</v>
      </c>
      <c r="J46" s="80" t="str">
        <f>IF(ISBLANK(A46),"",H46*I46)</f>
        <v/>
      </c>
      <c r="K46" s="213">
        <v>0</v>
      </c>
      <c r="L46" s="221" t="str">
        <f>IF(ISBLANK(A46)," ",(K46*G46*$B$9))</f>
        <v xml:space="preserve"> </v>
      </c>
      <c r="M46" s="80" t="str">
        <f>IF(ISBLANK(A46),"",J46-L46)</f>
        <v/>
      </c>
      <c r="N46" s="165">
        <v>0</v>
      </c>
      <c r="O46" s="207" t="str">
        <f>IF(ISBLANK(A46),"",G46*N46*$B$9)</f>
        <v/>
      </c>
      <c r="P46" s="80" t="str">
        <f>IF(ISBLANK(A46),"",O46-L46)</f>
        <v/>
      </c>
      <c r="Q46" s="155" t="str">
        <f>IF(ISBLANK(A46),"",P46/O46)</f>
        <v/>
      </c>
      <c r="R46" s="166" t="str">
        <f>IF(ISBLANK(A46),"",1-O46/J46)</f>
        <v/>
      </c>
      <c r="S46" s="376"/>
      <c r="T46" s="41" t="str">
        <f>IF(ISBLANK(A46),"",CONCATENATE(C46,"-",$B$5))</f>
        <v/>
      </c>
    </row>
    <row r="47" spans="1:147" ht="14.4" hidden="1" outlineLevel="1" thickBot="1" x14ac:dyDescent="0.35">
      <c r="A47" s="167"/>
      <c r="B47" s="167"/>
      <c r="C47" s="167"/>
      <c r="D47" s="168"/>
      <c r="E47" s="168"/>
      <c r="F47" s="169"/>
      <c r="G47" s="170" t="str">
        <f>IF(ISBLANK(A47),"",NETWORKDAYS(D47,E47)*F47)</f>
        <v/>
      </c>
      <c r="H47" s="171" t="str">
        <f>IF(ISBLANK(A47),"",G47*$B$9)</f>
        <v/>
      </c>
      <c r="I47" s="172">
        <v>0</v>
      </c>
      <c r="J47" s="82" t="str">
        <f>IF(ISBLANK(A47),"",H47*I47)</f>
        <v/>
      </c>
      <c r="K47" s="214">
        <v>0</v>
      </c>
      <c r="L47" s="220" t="str">
        <f>IF(ISBLANK(A47)," ",(K47*G47*$B$9))</f>
        <v xml:space="preserve"> </v>
      </c>
      <c r="M47" s="82" t="str">
        <f>IF(ISBLANK(A47),"",J47-L47)</f>
        <v/>
      </c>
      <c r="N47" s="172">
        <v>0</v>
      </c>
      <c r="O47" s="208" t="str">
        <f>IF(ISBLANK(A47),"",G47*N47*$B$9)</f>
        <v/>
      </c>
      <c r="P47" s="82" t="str">
        <f>IF(ISBLANK(A47),"",O47-L47)</f>
        <v/>
      </c>
      <c r="Q47" s="158" t="str">
        <f>IF(ISBLANK(A47),"",P47/O47)</f>
        <v/>
      </c>
      <c r="R47" s="173" t="str">
        <f>IF(ISBLANK(A47),"",1-O47/J47)</f>
        <v/>
      </c>
      <c r="S47" s="375"/>
      <c r="T47" s="41" t="str">
        <f>IF(ISBLANK(A47),"",CONCATENATE(C47,"-",$B$5))</f>
        <v/>
      </c>
    </row>
    <row r="48" spans="1:147" hidden="1" x14ac:dyDescent="0.3">
      <c r="A48" s="3" t="s">
        <v>146</v>
      </c>
      <c r="G48" s="17">
        <f>SUM(G43:G47)</f>
        <v>0</v>
      </c>
      <c r="H48" s="17">
        <f>SUM(H43:H47)</f>
        <v>0</v>
      </c>
      <c r="I48" s="33"/>
      <c r="J48" s="51"/>
      <c r="K48" s="209"/>
      <c r="L48" s="51"/>
      <c r="M48" s="51"/>
      <c r="O48" s="51"/>
      <c r="P48" s="51"/>
      <c r="Q48" s="15"/>
      <c r="R48" s="8"/>
    </row>
    <row r="49" spans="1:147" hidden="1" x14ac:dyDescent="0.3">
      <c r="A49" s="3"/>
      <c r="G49" s="17"/>
      <c r="H49" s="120"/>
      <c r="I49" s="33"/>
      <c r="J49" s="123"/>
      <c r="K49" s="209"/>
      <c r="L49" s="51"/>
      <c r="M49" s="51"/>
      <c r="O49" s="123"/>
      <c r="P49" s="51"/>
      <c r="Q49" s="15" t="str">
        <f>IF(G49=0,"",P49/O49)</f>
        <v/>
      </c>
      <c r="R49" s="8" t="str">
        <f>IF(G49=0,"",1-O49/J49)</f>
        <v/>
      </c>
    </row>
    <row r="50" spans="1:147" s="11" customFormat="1" x14ac:dyDescent="0.3">
      <c r="A50" s="12" t="s">
        <v>16</v>
      </c>
      <c r="H50" s="121"/>
      <c r="I50" s="32"/>
      <c r="J50" s="37"/>
      <c r="K50" s="215"/>
      <c r="L50" s="215">
        <f>'Non-Reimbursable Expenses'!B55</f>
        <v>0</v>
      </c>
      <c r="M50" s="37"/>
      <c r="N50" s="32"/>
      <c r="O50" s="215">
        <f>IF($B$4="Fixed Price",L50,0)</f>
        <v>0</v>
      </c>
      <c r="P50" s="37"/>
      <c r="Q50" s="18"/>
      <c r="S50" s="377"/>
      <c r="T50" s="41"/>
      <c r="U50" s="41"/>
      <c r="V50" s="41"/>
      <c r="W50" s="41"/>
      <c r="X50" s="41"/>
      <c r="Y50" s="41"/>
      <c r="Z50" s="41"/>
      <c r="AA50" s="41"/>
      <c r="AB50" s="41"/>
      <c r="AC50" s="41"/>
      <c r="AD50" s="41"/>
      <c r="AE50" s="41"/>
      <c r="AF50" s="41"/>
      <c r="AG50" s="41"/>
      <c r="AH50" s="41"/>
      <c r="AI50" s="41"/>
      <c r="AJ50" s="41"/>
      <c r="AK50" s="41"/>
      <c r="AL50" s="41"/>
      <c r="AM50" s="41"/>
      <c r="AN50" s="41"/>
      <c r="AO50" s="41"/>
      <c r="AP50" s="41"/>
      <c r="AQ50" s="41"/>
      <c r="AR50" s="41"/>
      <c r="AS50" s="41"/>
      <c r="AT50" s="41"/>
      <c r="AU50" s="41"/>
      <c r="AV50" s="41"/>
      <c r="AW50" s="41"/>
      <c r="AX50" s="41"/>
      <c r="AY50" s="41"/>
      <c r="AZ50" s="41"/>
      <c r="BA50" s="41"/>
      <c r="BB50" s="41"/>
      <c r="BC50" s="41"/>
      <c r="BD50" s="41"/>
      <c r="BE50" s="41"/>
      <c r="BF50" s="41"/>
      <c r="BG50" s="41"/>
      <c r="BH50" s="41"/>
      <c r="BI50" s="41"/>
      <c r="BJ50" s="41"/>
      <c r="BK50" s="41"/>
      <c r="BL50" s="41"/>
      <c r="BM50" s="41"/>
      <c r="BN50" s="41"/>
      <c r="BO50" s="41"/>
      <c r="BP50" s="41"/>
      <c r="BQ50" s="41"/>
      <c r="BR50" s="41"/>
      <c r="BS50" s="41"/>
      <c r="BT50" s="41"/>
      <c r="BU50" s="41"/>
      <c r="BV50" s="41"/>
      <c r="BW50" s="41"/>
      <c r="BX50" s="41"/>
      <c r="BY50" s="41"/>
      <c r="BZ50" s="41"/>
      <c r="CA50" s="41"/>
      <c r="CB50" s="41"/>
      <c r="CC50" s="41"/>
      <c r="CD50" s="41"/>
      <c r="CE50" s="41"/>
      <c r="CF50" s="41"/>
      <c r="CG50" s="41"/>
      <c r="CH50" s="41"/>
      <c r="CI50" s="41"/>
      <c r="CJ50" s="41"/>
      <c r="CK50" s="41"/>
      <c r="CL50" s="41"/>
      <c r="CM50" s="41"/>
      <c r="CN50" s="41"/>
      <c r="CO50" s="41"/>
      <c r="CP50" s="41"/>
      <c r="CQ50" s="41"/>
      <c r="CR50" s="41"/>
      <c r="CS50" s="41"/>
      <c r="CT50" s="41"/>
      <c r="CU50" s="41"/>
      <c r="CV50" s="41"/>
      <c r="CW50" s="41"/>
      <c r="CX50" s="41"/>
      <c r="CY50" s="41"/>
      <c r="CZ50" s="41"/>
      <c r="DA50" s="41"/>
      <c r="DB50" s="41"/>
      <c r="DC50" s="41"/>
      <c r="DD50" s="41"/>
      <c r="DE50" s="41"/>
      <c r="DF50" s="41"/>
      <c r="DG50" s="41"/>
      <c r="DH50" s="41"/>
      <c r="DI50" s="41"/>
      <c r="DJ50" s="41"/>
      <c r="DK50" s="41"/>
      <c r="DL50" s="41"/>
      <c r="DM50" s="41"/>
      <c r="DN50" s="41"/>
      <c r="DO50" s="41"/>
      <c r="DP50" s="41"/>
      <c r="DQ50" s="41"/>
      <c r="DR50" s="41"/>
      <c r="DS50" s="41"/>
      <c r="DT50" s="41"/>
      <c r="DU50" s="41"/>
      <c r="DV50" s="41"/>
      <c r="DW50" s="41"/>
      <c r="DX50" s="41"/>
      <c r="DY50" s="41"/>
      <c r="DZ50" s="41"/>
      <c r="EA50" s="41"/>
      <c r="EB50" s="41"/>
      <c r="EC50" s="41"/>
      <c r="ED50" s="41"/>
      <c r="EE50" s="41"/>
      <c r="EF50" s="41"/>
      <c r="EG50" s="41"/>
      <c r="EH50" s="41"/>
      <c r="EI50" s="41"/>
      <c r="EJ50" s="41"/>
      <c r="EK50" s="41"/>
      <c r="EL50" s="41"/>
      <c r="EM50" s="41"/>
      <c r="EN50" s="41"/>
      <c r="EO50" s="41"/>
      <c r="EP50" s="41"/>
      <c r="EQ50" s="41"/>
    </row>
    <row r="51" spans="1:147" ht="15.6" x14ac:dyDescent="0.3">
      <c r="A51" s="14" t="s">
        <v>17</v>
      </c>
      <c r="G51" s="9">
        <f>G40+G48</f>
        <v>0</v>
      </c>
      <c r="H51" s="9">
        <f>H40+H48</f>
        <v>0</v>
      </c>
      <c r="I51" s="31"/>
      <c r="J51" s="36">
        <f>J40</f>
        <v>0</v>
      </c>
      <c r="K51" s="209"/>
      <c r="L51" s="209">
        <f>L40+L50</f>
        <v>0</v>
      </c>
      <c r="M51" s="36">
        <f>M40</f>
        <v>0</v>
      </c>
      <c r="N51" s="33"/>
      <c r="O51" s="209">
        <f>O40+O50</f>
        <v>0</v>
      </c>
      <c r="P51" s="36">
        <f>P40</f>
        <v>0</v>
      </c>
      <c r="Q51" s="15">
        <f>IF(ISBLANK(A51),"",IF(O51&gt;0,P51/O51,0))</f>
        <v>0</v>
      </c>
      <c r="R51" s="8">
        <f>IF(ISBLANK(A51),"",IF(J51&gt;0,1-O51/J51,1))</f>
        <v>1</v>
      </c>
    </row>
    <row r="52" spans="1:147" ht="4.5" customHeight="1" thickBot="1" x14ac:dyDescent="0.35">
      <c r="I52" s="31"/>
      <c r="J52" s="36"/>
      <c r="K52" s="209"/>
      <c r="L52" s="209"/>
      <c r="M52" s="36"/>
      <c r="O52" s="209"/>
      <c r="P52" s="36"/>
    </row>
    <row r="53" spans="1:147" ht="15.75" customHeight="1" thickBot="1" x14ac:dyDescent="0.35">
      <c r="A53" s="64" t="s">
        <v>62</v>
      </c>
      <c r="B53" s="65"/>
      <c r="C53" s="65"/>
      <c r="D53" s="65"/>
      <c r="E53" s="65"/>
      <c r="F53" s="65"/>
      <c r="G53" s="66"/>
      <c r="H53" s="122"/>
      <c r="I53" s="67"/>
      <c r="J53" s="68"/>
      <c r="K53" s="216"/>
      <c r="L53" s="216"/>
      <c r="M53" s="68"/>
      <c r="N53" s="67"/>
      <c r="O53" s="222">
        <f>O51</f>
        <v>0</v>
      </c>
      <c r="P53" s="44">
        <f>O53-L51</f>
        <v>0</v>
      </c>
      <c r="Q53" s="45">
        <f>IF(ISBLANK(A53),"",IF(O53&gt;0,P53/O53,0))</f>
        <v>0</v>
      </c>
      <c r="R53" s="46">
        <f>IF(ISBLANK(A53),"",IF(J53&gt;0,1-O53/J53,1))</f>
        <v>1</v>
      </c>
    </row>
    <row r="54" spans="1:147" ht="6" customHeight="1" x14ac:dyDescent="0.3">
      <c r="I54" s="31"/>
      <c r="J54" s="36"/>
      <c r="K54" s="209"/>
      <c r="L54" s="209"/>
      <c r="M54" s="36"/>
      <c r="O54" s="209"/>
      <c r="P54" s="36"/>
    </row>
    <row r="55" spans="1:147" outlineLevel="1" x14ac:dyDescent="0.3">
      <c r="A55" s="2" t="str">
        <f>IF($B$8="Estimate","Low Estimate","")</f>
        <v/>
      </c>
      <c r="G55" s="9">
        <f>G51*(1-$F$8)</f>
        <v>0</v>
      </c>
      <c r="H55" s="9">
        <f>H51*(1-$F$8)</f>
        <v>0</v>
      </c>
      <c r="I55" s="31"/>
      <c r="J55" s="36">
        <f>J51*(1-$F$8)</f>
        <v>0</v>
      </c>
      <c r="K55" s="209"/>
      <c r="L55" s="209">
        <f>L51*(1-$F$8)</f>
        <v>0</v>
      </c>
      <c r="M55" s="36">
        <f>M51*(1-$F$8)</f>
        <v>0</v>
      </c>
      <c r="N55" s="50"/>
      <c r="O55" s="209">
        <f>O51*(1-$F$8)</f>
        <v>0</v>
      </c>
      <c r="P55" s="36">
        <f>P51*(1-$F$8)</f>
        <v>0</v>
      </c>
      <c r="Q55" s="15">
        <f>IF(ISBLANK(A55),"",IF(O55&gt;0,P55/O55,0))</f>
        <v>0</v>
      </c>
      <c r="R55" s="8"/>
    </row>
    <row r="56" spans="1:147" outlineLevel="1" x14ac:dyDescent="0.3">
      <c r="A56" s="2" t="str">
        <f>IF($B$8="Estimate","High Estimate","")</f>
        <v/>
      </c>
      <c r="G56" s="9">
        <f>G51*(1+$F$9)</f>
        <v>0</v>
      </c>
      <c r="H56" s="9">
        <f>H51*(1+$F$9)</f>
        <v>0</v>
      </c>
      <c r="I56" s="31"/>
      <c r="J56" s="36">
        <f>J51*(1+$F$9)</f>
        <v>0</v>
      </c>
      <c r="K56" s="209"/>
      <c r="L56" s="209">
        <f>L51*(1+$F$9)</f>
        <v>0</v>
      </c>
      <c r="M56" s="36">
        <f>M51*(1+$F$9)</f>
        <v>0</v>
      </c>
      <c r="N56" s="50"/>
      <c r="O56" s="209">
        <f>O51*(1+$F$9)</f>
        <v>0</v>
      </c>
      <c r="P56" s="36">
        <f>P51*(1+$F$9)</f>
        <v>0</v>
      </c>
      <c r="Q56" s="15">
        <f>IF(ISBLANK(A56),"",IF(O56&gt;0,P56/O56,0))</f>
        <v>0</v>
      </c>
      <c r="R56" s="8"/>
    </row>
    <row r="57" spans="1:147" x14ac:dyDescent="0.3">
      <c r="I57" s="31"/>
    </row>
  </sheetData>
  <sheetProtection sheet="1" objects="1" scenarios="1" insertRows="0" sort="0" autoFilter="0" pivotTables="0"/>
  <mergeCells count="1">
    <mergeCell ref="A24:B24"/>
  </mergeCells>
  <dataValidations count="12">
    <dataValidation type="decimal" allowBlank="1" showInputMessage="1" showErrorMessage="1" sqref="F14:F23">
      <formula1>0</formula1>
      <formula2>9</formula2>
    </dataValidation>
    <dataValidation type="list" allowBlank="1" showInputMessage="1" showErrorMessage="1" sqref="C14:C23">
      <formula1>"APAC, EU, NA, SELECT ONE, ERROR"</formula1>
    </dataValidation>
    <dataValidation type="list" allowBlank="1" showInputMessage="1" showErrorMessage="1" sqref="B8">
      <formula1>"Quote, Estimate, Select One"</formula1>
    </dataValidation>
    <dataValidation type="list" allowBlank="1" showInputMessage="1" showErrorMessage="1" sqref="B4">
      <formula1>"T&amp;M, Fixed Price, SELECT ONE"</formula1>
    </dataValidation>
    <dataValidation type="list" showInputMessage="1" showErrorMessage="1" sqref="B10">
      <formula1>"SELECT ONE, APAC, EU, NA"</formula1>
    </dataValidation>
    <dataValidation type="date" operator="greaterThanOrEqual" allowBlank="1" showInputMessage="1" showErrorMessage="1" sqref="D43:D44 D45:E47 D29:E34 D28 D14:D23 B6">
      <formula1>38353</formula1>
    </dataValidation>
    <dataValidation type="whole" showInputMessage="1" showErrorMessage="1" sqref="B9:C9">
      <formula1>8</formula1>
      <formula2>9</formula2>
    </dataValidation>
    <dataValidation type="decimal" allowBlank="1" showInputMessage="1" showErrorMessage="1" sqref="F28:F34">
      <formula1>0</formula1>
      <formula2>5</formula2>
    </dataValidation>
    <dataValidation type="date" operator="greaterThan" allowBlank="1" showInputMessage="1" showErrorMessage="1" sqref="E43:E44 E28 E14:E23">
      <formula1>38353</formula1>
    </dataValidation>
    <dataValidation type="list" showInputMessage="1" showErrorMessage="1" sqref="C4">
      <formula1>"T&amp;M, Fixed Price, SELECT ONE"</formula1>
    </dataValidation>
    <dataValidation type="list" showInputMessage="1" showErrorMessage="1" sqref="C8">
      <formula1>"Quote, Estimate, SELECT ONE"</formula1>
    </dataValidation>
    <dataValidation type="decimal" allowBlank="1" showInputMessage="1" showErrorMessage="1" sqref="F43">
      <formula1>0</formula1>
      <formula2>1</formula2>
    </dataValidation>
  </dataValidations>
  <pageMargins left="0.75" right="0.75" top="1" bottom="1" header="0.5" footer="0.5"/>
  <pageSetup scale="57" fitToHeight="5" orientation="landscape"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gsrates!$A$60:$A$96</xm:f>
          </x14:formula1>
          <xm:sqref>A14:A23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7"/>
  <sheetViews>
    <sheetView workbookViewId="0">
      <selection activeCell="B1" sqref="B1"/>
    </sheetView>
  </sheetViews>
  <sheetFormatPr defaultRowHeight="13.2" x14ac:dyDescent="0.25"/>
  <cols>
    <col min="1" max="1" width="23.77734375" customWidth="1"/>
    <col min="2" max="2" width="140.44140625" customWidth="1"/>
  </cols>
  <sheetData>
    <row r="1" spans="1:2" ht="14.4" x14ac:dyDescent="0.25">
      <c r="A1" s="257" t="s">
        <v>200</v>
      </c>
      <c r="B1" s="258"/>
    </row>
    <row r="2" spans="1:2" ht="115.2" x14ac:dyDescent="0.25">
      <c r="A2" s="258"/>
      <c r="B2" s="259" t="s">
        <v>201</v>
      </c>
    </row>
    <row r="3" spans="1:2" ht="28.8" x14ac:dyDescent="0.25">
      <c r="A3" s="257" t="s">
        <v>202</v>
      </c>
      <c r="B3" s="258"/>
    </row>
    <row r="4" spans="1:2" ht="43.2" x14ac:dyDescent="0.25">
      <c r="A4" s="258"/>
      <c r="B4" s="259" t="s">
        <v>203</v>
      </c>
    </row>
    <row r="5" spans="1:2" ht="14.4" x14ac:dyDescent="0.25">
      <c r="A5" s="259"/>
      <c r="B5" s="258"/>
    </row>
    <row r="6" spans="1:2" ht="14.4" x14ac:dyDescent="0.25">
      <c r="A6" s="257" t="s">
        <v>204</v>
      </c>
      <c r="B6" s="258"/>
    </row>
    <row r="7" spans="1:2" ht="72" x14ac:dyDescent="0.25">
      <c r="A7" s="258"/>
      <c r="B7" s="259" t="s">
        <v>205</v>
      </c>
    </row>
  </sheetData>
  <pageMargins left="0.7" right="0.7" top="0.75" bottom="0.75" header="0.3" footer="0.3"/>
  <pageSetup orientation="landscape" r:id="rId1"/>
  <headerFooter>
    <oddFooter>&amp;L&amp;F
&amp;A&amp;C&amp;P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rgb="FFFFC000"/>
    <pageSetUpPr fitToPage="1"/>
  </sheetPr>
  <dimension ref="A1:EQ58"/>
  <sheetViews>
    <sheetView workbookViewId="0">
      <pane xSplit="2" ySplit="14" topLeftCell="D15" activePane="bottomRight" state="frozen"/>
      <selection activeCell="A5" sqref="A5:B10"/>
      <selection pane="topRight" activeCell="A5" sqref="A5:B10"/>
      <selection pane="bottomLeft" activeCell="A5" sqref="A5:B10"/>
      <selection pane="bottomRight" activeCell="S15" sqref="S15"/>
    </sheetView>
  </sheetViews>
  <sheetFormatPr defaultColWidth="9.33203125" defaultRowHeight="13.8" outlineLevelRow="1" x14ac:dyDescent="0.3"/>
  <cols>
    <col min="1" max="1" width="30.33203125" style="2" customWidth="1"/>
    <col min="2" max="2" width="15.109375" style="2" bestFit="1" customWidth="1"/>
    <col min="3" max="3" width="15.109375" style="2" hidden="1" customWidth="1"/>
    <col min="4" max="4" width="10.44140625" style="2" customWidth="1"/>
    <col min="5" max="5" width="10.77734375" style="2" customWidth="1"/>
    <col min="6" max="6" width="13" style="2" bestFit="1" customWidth="1"/>
    <col min="7" max="7" width="11" style="2" bestFit="1" customWidth="1"/>
    <col min="8" max="8" width="11" style="116" customWidth="1"/>
    <col min="9" max="9" width="12.77734375" style="2" customWidth="1"/>
    <col min="10" max="10" width="15" style="2" bestFit="1" customWidth="1"/>
    <col min="11" max="11" width="12.33203125" style="203" customWidth="1"/>
    <col min="12" max="12" width="11.44140625" style="203" customWidth="1"/>
    <col min="13" max="13" width="11.44140625" style="2" customWidth="1"/>
    <col min="14" max="14" width="10.77734375" style="31" customWidth="1"/>
    <col min="15" max="15" width="14.109375" style="203" customWidth="1"/>
    <col min="16" max="16" width="11.44140625" style="2" customWidth="1"/>
    <col min="17" max="17" width="10" style="2" customWidth="1"/>
    <col min="18" max="18" width="11.109375" style="2" customWidth="1"/>
    <col min="19" max="19" width="9.33203125" style="2"/>
    <col min="20" max="20" width="9.33203125" style="41" hidden="1" customWidth="1"/>
    <col min="21" max="21" width="9.33203125" style="41"/>
    <col min="22" max="22" width="27.6640625" style="41" bestFit="1" customWidth="1"/>
    <col min="23" max="23" width="12.109375" style="41" customWidth="1"/>
    <col min="24" max="24" width="28.109375" style="41" hidden="1" customWidth="1"/>
    <col min="25" max="147" width="9.33203125" style="41"/>
    <col min="148" max="16384" width="9.33203125" style="2"/>
  </cols>
  <sheetData>
    <row r="1" spans="1:147" x14ac:dyDescent="0.3">
      <c r="A1" s="2" t="s">
        <v>0</v>
      </c>
      <c r="B1" s="139" t="str">
        <f>IF(ISBLANK(Summary!B1)," ",Summary!B1)</f>
        <v>&lt;Enter Account Name&gt;</v>
      </c>
      <c r="C1" s="141"/>
    </row>
    <row r="2" spans="1:147" x14ac:dyDescent="0.3">
      <c r="A2" s="2" t="s">
        <v>245</v>
      </c>
      <c r="B2" s="139" t="str">
        <f>IF(ISBLANK(Summary!B2)," ",Summary!B2)</f>
        <v>&lt;Enter Organization Name&gt;</v>
      </c>
      <c r="C2" s="141"/>
    </row>
    <row r="3" spans="1:147" x14ac:dyDescent="0.3">
      <c r="A3" s="2" t="s">
        <v>164</v>
      </c>
      <c r="B3" s="139" t="str">
        <f>IF(ISBLANK(Summary!B3)," ",Summary!B3)</f>
        <v>NEW ECR</v>
      </c>
      <c r="C3" s="141"/>
      <c r="V3" s="42"/>
      <c r="X3" s="41" t="s">
        <v>99</v>
      </c>
    </row>
    <row r="4" spans="1:147" x14ac:dyDescent="0.3">
      <c r="A4" s="2" t="s">
        <v>2</v>
      </c>
      <c r="B4" s="2" t="s">
        <v>19</v>
      </c>
      <c r="C4" s="127"/>
      <c r="G4" s="127"/>
      <c r="H4" s="223"/>
      <c r="I4" s="127"/>
      <c r="J4" s="127"/>
      <c r="V4" s="42"/>
      <c r="X4" s="41" t="s">
        <v>100</v>
      </c>
    </row>
    <row r="5" spans="1:147" x14ac:dyDescent="0.3">
      <c r="A5" s="2" t="s">
        <v>3</v>
      </c>
      <c r="B5" s="139" t="s">
        <v>241</v>
      </c>
      <c r="C5" s="142"/>
      <c r="V5" s="42"/>
      <c r="X5" s="41" t="s">
        <v>169</v>
      </c>
    </row>
    <row r="6" spans="1:147" x14ac:dyDescent="0.3">
      <c r="A6" s="2" t="s">
        <v>150</v>
      </c>
      <c r="B6" s="99" t="str">
        <f>IF(ISBLANK(Summary!B6),"ADD on SUMMARY tab",Summary!B6)</f>
        <v>NA</v>
      </c>
      <c r="C6" s="99"/>
      <c r="G6" s="125" t="str">
        <f>IF(AND(O52&gt;0,O54=0),"Enter Total Price in N43"," ")</f>
        <v xml:space="preserve"> </v>
      </c>
      <c r="V6" s="42"/>
      <c r="X6" s="41" t="s">
        <v>101</v>
      </c>
    </row>
    <row r="7" spans="1:147" x14ac:dyDescent="0.3">
      <c r="A7" s="2" t="s">
        <v>4</v>
      </c>
      <c r="B7" s="366"/>
      <c r="C7" s="143"/>
      <c r="D7" s="4" t="str">
        <f>IF(B7&gt;MIN(D15:D35),"Staffing Starts before this date!",IF(B7&lt;MIN(D15:D35),"No staffing on start date!",""))</f>
        <v/>
      </c>
      <c r="E7"/>
      <c r="F7"/>
      <c r="G7"/>
      <c r="H7" s="117"/>
      <c r="I7"/>
      <c r="J7"/>
      <c r="K7" s="204"/>
      <c r="L7" s="204"/>
      <c r="M7"/>
      <c r="N7" s="50"/>
      <c r="O7" s="204"/>
      <c r="V7" s="42"/>
      <c r="X7" s="41" t="s">
        <v>102</v>
      </c>
    </row>
    <row r="8" spans="1:147" x14ac:dyDescent="0.3">
      <c r="A8" s="2" t="s">
        <v>5</v>
      </c>
      <c r="B8" s="88">
        <f>MAX(E15:E24)</f>
        <v>0</v>
      </c>
      <c r="C8" s="143"/>
      <c r="D8" s="4" t="str">
        <f>IF(B8&gt;MAX(E15:E35),"Staffing ends before project end date!",IF(B8&lt;MAX(E15:E35),"Staffing continues after end date!",""))</f>
        <v/>
      </c>
      <c r="E8"/>
      <c r="F8"/>
      <c r="G8"/>
      <c r="H8" s="117"/>
      <c r="I8"/>
      <c r="J8"/>
      <c r="K8" s="204"/>
      <c r="L8" s="204"/>
      <c r="M8"/>
      <c r="N8" s="50"/>
      <c r="O8" s="204"/>
      <c r="V8" s="42"/>
      <c r="X8" s="41" t="s">
        <v>103</v>
      </c>
    </row>
    <row r="9" spans="1:147" x14ac:dyDescent="0.3">
      <c r="A9" s="2" t="s">
        <v>6</v>
      </c>
      <c r="B9" s="139" t="str">
        <f>IF(ISBLANK(Summary!B9)," ",Summary!B9)</f>
        <v>Quote</v>
      </c>
      <c r="C9" s="142"/>
      <c r="E9" s="2" t="s">
        <v>160</v>
      </c>
      <c r="F9" s="89">
        <v>0.05</v>
      </c>
      <c r="V9" s="42"/>
      <c r="X9" s="41" t="s">
        <v>151</v>
      </c>
    </row>
    <row r="10" spans="1:147" x14ac:dyDescent="0.3">
      <c r="A10" s="2" t="s">
        <v>84</v>
      </c>
      <c r="B10" s="126">
        <v>8</v>
      </c>
      <c r="C10" s="144"/>
      <c r="E10" s="2" t="s">
        <v>159</v>
      </c>
      <c r="F10" s="89">
        <v>0.2</v>
      </c>
      <c r="V10" s="42"/>
      <c r="X10" s="41" t="s">
        <v>170</v>
      </c>
    </row>
    <row r="11" spans="1:147" x14ac:dyDescent="0.3">
      <c r="A11" s="2" t="s">
        <v>72</v>
      </c>
      <c r="B11" s="154" t="str">
        <f>IF(ISBLANK(Summary!B14),"SELECT ONE",Summary!B14)</f>
        <v>USD</v>
      </c>
      <c r="X11" s="41" t="s">
        <v>104</v>
      </c>
    </row>
    <row r="12" spans="1:147" x14ac:dyDescent="0.3">
      <c r="X12" s="41" t="s">
        <v>105</v>
      </c>
    </row>
    <row r="13" spans="1:147" x14ac:dyDescent="0.3">
      <c r="A13" s="3"/>
      <c r="B13" s="3"/>
      <c r="C13" s="3"/>
      <c r="D13" s="5"/>
      <c r="E13" s="5"/>
      <c r="F13" s="5"/>
      <c r="G13" s="6"/>
      <c r="H13" s="118"/>
      <c r="I13" s="6"/>
      <c r="J13" s="6"/>
      <c r="K13" s="205"/>
      <c r="L13" s="205"/>
      <c r="M13" s="6"/>
      <c r="N13" s="34" t="s">
        <v>85</v>
      </c>
      <c r="O13" s="205"/>
      <c r="P13" s="6"/>
      <c r="Q13" s="6"/>
      <c r="R13" s="6"/>
      <c r="X13" s="41" t="s">
        <v>106</v>
      </c>
    </row>
    <row r="14" spans="1:147" s="3" customFormat="1" x14ac:dyDescent="0.3">
      <c r="A14" s="12" t="s">
        <v>54</v>
      </c>
      <c r="B14" s="12" t="s">
        <v>55</v>
      </c>
      <c r="C14" s="12" t="s">
        <v>96</v>
      </c>
      <c r="D14" s="13" t="s">
        <v>56</v>
      </c>
      <c r="E14" s="13" t="s">
        <v>57</v>
      </c>
      <c r="F14" s="13" t="s">
        <v>7</v>
      </c>
      <c r="G14" s="13" t="s">
        <v>20</v>
      </c>
      <c r="H14" s="119" t="s">
        <v>83</v>
      </c>
      <c r="I14" s="35" t="s">
        <v>10</v>
      </c>
      <c r="J14" s="13" t="s">
        <v>58</v>
      </c>
      <c r="K14" s="206" t="s">
        <v>59</v>
      </c>
      <c r="L14" s="217" t="s">
        <v>31</v>
      </c>
      <c r="M14" s="13" t="s">
        <v>21</v>
      </c>
      <c r="N14" s="35" t="s">
        <v>22</v>
      </c>
      <c r="O14" s="217" t="s">
        <v>60</v>
      </c>
      <c r="P14" s="13" t="s">
        <v>32</v>
      </c>
      <c r="Q14" s="13" t="s">
        <v>23</v>
      </c>
      <c r="R14" s="13" t="s">
        <v>24</v>
      </c>
      <c r="T14" s="273"/>
      <c r="U14" s="273"/>
      <c r="V14" s="273"/>
      <c r="W14" s="273"/>
      <c r="X14" s="41" t="s">
        <v>143</v>
      </c>
      <c r="Y14" s="273"/>
      <c r="Z14" s="273"/>
      <c r="AA14" s="273"/>
      <c r="AB14" s="273"/>
      <c r="AC14" s="273"/>
      <c r="AD14" s="273"/>
      <c r="AE14" s="273"/>
      <c r="AF14" s="273"/>
      <c r="AG14" s="273"/>
      <c r="AH14" s="273"/>
      <c r="AI14" s="273"/>
      <c r="AJ14" s="273"/>
      <c r="AK14" s="273"/>
      <c r="AL14" s="273"/>
      <c r="AM14" s="273"/>
      <c r="AN14" s="273"/>
      <c r="AO14" s="273"/>
      <c r="AP14" s="273"/>
      <c r="AQ14" s="273"/>
      <c r="AR14" s="273"/>
      <c r="AS14" s="273"/>
      <c r="AT14" s="273"/>
      <c r="AU14" s="273"/>
      <c r="AV14" s="273"/>
      <c r="AW14" s="273"/>
      <c r="AX14" s="273"/>
      <c r="AY14" s="273"/>
      <c r="AZ14" s="273"/>
      <c r="BA14" s="273"/>
      <c r="BB14" s="273"/>
      <c r="BC14" s="273"/>
      <c r="BD14" s="273"/>
      <c r="BE14" s="273"/>
      <c r="BF14" s="273"/>
      <c r="BG14" s="273"/>
      <c r="BH14" s="273"/>
      <c r="BI14" s="273"/>
      <c r="BJ14" s="273"/>
      <c r="BK14" s="273"/>
      <c r="BL14" s="273"/>
      <c r="BM14" s="273"/>
      <c r="BN14" s="273"/>
      <c r="BO14" s="273"/>
      <c r="BP14" s="273"/>
      <c r="BQ14" s="273"/>
      <c r="BR14" s="273"/>
      <c r="BS14" s="273"/>
      <c r="BT14" s="273"/>
      <c r="BU14" s="273"/>
      <c r="BV14" s="273"/>
      <c r="BW14" s="273"/>
      <c r="BX14" s="273"/>
      <c r="BY14" s="273"/>
      <c r="BZ14" s="273"/>
      <c r="CA14" s="273"/>
      <c r="CB14" s="273"/>
      <c r="CC14" s="273"/>
      <c r="CD14" s="273"/>
      <c r="CE14" s="273"/>
      <c r="CF14" s="273"/>
      <c r="CG14" s="273"/>
      <c r="CH14" s="273"/>
      <c r="CI14" s="273"/>
      <c r="CJ14" s="273"/>
      <c r="CK14" s="273"/>
      <c r="CL14" s="273"/>
      <c r="CM14" s="273"/>
      <c r="CN14" s="273"/>
      <c r="CO14" s="273"/>
      <c r="CP14" s="273"/>
      <c r="CQ14" s="273"/>
      <c r="CR14" s="273"/>
      <c r="CS14" s="273"/>
      <c r="CT14" s="273"/>
      <c r="CU14" s="273"/>
      <c r="CV14" s="273"/>
      <c r="CW14" s="273"/>
      <c r="CX14" s="273"/>
      <c r="CY14" s="273"/>
      <c r="CZ14" s="273"/>
      <c r="DA14" s="273"/>
      <c r="DB14" s="273"/>
      <c r="DC14" s="273"/>
      <c r="DD14" s="273"/>
      <c r="DE14" s="273"/>
      <c r="DF14" s="273"/>
      <c r="DG14" s="273"/>
      <c r="DH14" s="273"/>
      <c r="DI14" s="273"/>
      <c r="DJ14" s="273"/>
      <c r="DK14" s="273"/>
      <c r="DL14" s="273"/>
      <c r="DM14" s="273"/>
      <c r="DN14" s="273"/>
      <c r="DO14" s="273"/>
      <c r="DP14" s="273"/>
      <c r="DQ14" s="273"/>
      <c r="DR14" s="273"/>
      <c r="DS14" s="273"/>
      <c r="DT14" s="273"/>
      <c r="DU14" s="273"/>
      <c r="DV14" s="273"/>
      <c r="DW14" s="273"/>
      <c r="DX14" s="273"/>
      <c r="DY14" s="273"/>
      <c r="DZ14" s="273"/>
      <c r="EA14" s="273"/>
      <c r="EB14" s="273"/>
      <c r="EC14" s="273"/>
      <c r="ED14" s="273"/>
      <c r="EE14" s="273"/>
      <c r="EF14" s="273"/>
      <c r="EG14" s="273"/>
      <c r="EH14" s="273"/>
      <c r="EI14" s="273"/>
      <c r="EJ14" s="273"/>
      <c r="EK14" s="273"/>
      <c r="EL14" s="273"/>
      <c r="EM14" s="273"/>
      <c r="EN14" s="273"/>
      <c r="EO14" s="273"/>
      <c r="EP14" s="273"/>
      <c r="EQ14" s="273"/>
    </row>
    <row r="15" spans="1:147" outlineLevel="1" x14ac:dyDescent="0.3">
      <c r="A15" s="160"/>
      <c r="B15" s="160"/>
      <c r="C15" s="87"/>
      <c r="D15" s="161"/>
      <c r="E15" s="161"/>
      <c r="F15" s="162"/>
      <c r="G15" s="163" t="str">
        <f t="shared" ref="G15:G24" si="0">IF(ISBLANK(A15),"",NETWORKDAYS(D15,E15)*F15)</f>
        <v/>
      </c>
      <c r="H15" s="164" t="str">
        <f t="shared" ref="H15:H24" si="1">IF(ISBLANK(A15),"",G15*$B$10)</f>
        <v/>
      </c>
      <c r="I15" s="176" t="str">
        <f>IF(ISBLANK(A15),"",VLOOKUP(A15,gsrates!$A$3:$AK$38,VLOOKUP($B$6,gsrates!$A$41:$C$58,2,FALSE),FALSE))</f>
        <v/>
      </c>
      <c r="J15" s="80" t="str">
        <f t="shared" ref="J15:J24" si="2">IF(ISBLANK(A15),"",H15*I15)</f>
        <v/>
      </c>
      <c r="K15" s="207" t="str">
        <f>IF(ISBLANK(A15),"",VLOOKUP(A15,gsrates!$A$3:$AK$38,VLOOKUP($B$6,gsrates!$A$41:$C$58,3,FALSE),FALSE))</f>
        <v/>
      </c>
      <c r="L15" s="207" t="str">
        <f t="shared" ref="L15:L24" si="3">IF(ISBLANK(A15),"",K15*G15*8)</f>
        <v/>
      </c>
      <c r="M15" s="80" t="str">
        <f t="shared" ref="M15:M24" si="4">IF(ISBLANK(A15),"",J15-L15)</f>
        <v/>
      </c>
      <c r="N15" s="177">
        <v>0</v>
      </c>
      <c r="O15" s="207" t="str">
        <f t="shared" ref="O15:O24" si="5">IF(ISBLANK(A15),"",G15*N15*$B$10)</f>
        <v/>
      </c>
      <c r="P15" s="80" t="str">
        <f t="shared" ref="P15:P24" si="6">IF(ISBLANK(A15),"",O15-L15)</f>
        <v/>
      </c>
      <c r="Q15" s="155" t="str">
        <f t="shared" ref="Q15:Q24" si="7">IF(ISBLANK(A15),"",P15/O15)</f>
        <v/>
      </c>
      <c r="R15" s="166" t="str">
        <f t="shared" ref="R15:R24" si="8">IF(ISBLANK(A15),"",1-O15/J15)</f>
        <v/>
      </c>
      <c r="S15" s="41"/>
      <c r="T15" s="41" t="str">
        <f t="shared" ref="T15:T24" si="9">IF(ISBLANK(A15),"",CONCATENATE(C15,"-",$B$6))</f>
        <v/>
      </c>
      <c r="X15" s="41" t="s">
        <v>162</v>
      </c>
    </row>
    <row r="16" spans="1:147" outlineLevel="1" x14ac:dyDescent="0.3">
      <c r="A16" s="160"/>
      <c r="B16" s="160"/>
      <c r="C16" s="87"/>
      <c r="D16" s="161"/>
      <c r="E16" s="161"/>
      <c r="F16" s="162"/>
      <c r="G16" s="163" t="str">
        <f t="shared" si="0"/>
        <v/>
      </c>
      <c r="H16" s="164" t="str">
        <f t="shared" si="1"/>
        <v/>
      </c>
      <c r="I16" s="176" t="str">
        <f>IF(ISBLANK(A16),"",VLOOKUP(A16,gsrates!$A$3:$AK$38,VLOOKUP($B$6,gsrates!$A$41:$C$58,2,FALSE),FALSE))</f>
        <v/>
      </c>
      <c r="J16" s="80" t="str">
        <f t="shared" si="2"/>
        <v/>
      </c>
      <c r="K16" s="207" t="str">
        <f>IF(ISBLANK(A16),"",VLOOKUP(A16,gsrates!$A$3:$AK$38,VLOOKUP($B$6,gsrates!$A$41:$C$58,3,FALSE),FALSE))</f>
        <v/>
      </c>
      <c r="L16" s="207" t="str">
        <f t="shared" si="3"/>
        <v/>
      </c>
      <c r="M16" s="80" t="str">
        <f t="shared" si="4"/>
        <v/>
      </c>
      <c r="N16" s="177">
        <v>0</v>
      </c>
      <c r="O16" s="207" t="str">
        <f t="shared" si="5"/>
        <v/>
      </c>
      <c r="P16" s="80" t="str">
        <f t="shared" si="6"/>
        <v/>
      </c>
      <c r="Q16" s="155" t="str">
        <f t="shared" si="7"/>
        <v/>
      </c>
      <c r="R16" s="166" t="str">
        <f t="shared" si="8"/>
        <v/>
      </c>
      <c r="S16" s="41"/>
      <c r="T16" s="41" t="str">
        <f t="shared" si="9"/>
        <v/>
      </c>
    </row>
    <row r="17" spans="1:147" outlineLevel="1" x14ac:dyDescent="0.3">
      <c r="A17" s="160"/>
      <c r="B17" s="160"/>
      <c r="C17" s="87"/>
      <c r="D17" s="161"/>
      <c r="E17" s="161"/>
      <c r="F17" s="162"/>
      <c r="G17" s="163" t="str">
        <f t="shared" si="0"/>
        <v/>
      </c>
      <c r="H17" s="164" t="str">
        <f t="shared" si="1"/>
        <v/>
      </c>
      <c r="I17" s="176" t="str">
        <f>IF(ISBLANK(A17),"",VLOOKUP(A17,gsrates!$A$3:$AK$38,VLOOKUP($B$6,gsrates!$A$41:$C$58,2,FALSE),FALSE))</f>
        <v/>
      </c>
      <c r="J17" s="80" t="str">
        <f t="shared" si="2"/>
        <v/>
      </c>
      <c r="K17" s="207" t="str">
        <f>IF(ISBLANK(A17),"",VLOOKUP(A17,gsrates!$A$3:$AK$38,VLOOKUP($B$6,gsrates!$A$41:$C$58,3,FALSE),FALSE))</f>
        <v/>
      </c>
      <c r="L17" s="207" t="str">
        <f t="shared" si="3"/>
        <v/>
      </c>
      <c r="M17" s="80" t="str">
        <f t="shared" si="4"/>
        <v/>
      </c>
      <c r="N17" s="177">
        <v>0</v>
      </c>
      <c r="O17" s="207" t="str">
        <f t="shared" si="5"/>
        <v/>
      </c>
      <c r="P17" s="80" t="str">
        <f t="shared" si="6"/>
        <v/>
      </c>
      <c r="Q17" s="155" t="str">
        <f t="shared" si="7"/>
        <v/>
      </c>
      <c r="R17" s="166" t="str">
        <f t="shared" si="8"/>
        <v/>
      </c>
      <c r="S17" s="41"/>
      <c r="T17" s="41" t="str">
        <f t="shared" si="9"/>
        <v/>
      </c>
    </row>
    <row r="18" spans="1:147" outlineLevel="1" x14ac:dyDescent="0.3">
      <c r="A18" s="160"/>
      <c r="B18" s="160"/>
      <c r="C18" s="87"/>
      <c r="D18" s="161"/>
      <c r="E18" s="161"/>
      <c r="F18" s="162"/>
      <c r="G18" s="163" t="str">
        <f t="shared" si="0"/>
        <v/>
      </c>
      <c r="H18" s="164" t="str">
        <f t="shared" si="1"/>
        <v/>
      </c>
      <c r="I18" s="176" t="str">
        <f>IF(ISBLANK(A18),"",VLOOKUP(A18,gsrates!$A$3:$AK$38,VLOOKUP($B$6,gsrates!$A$41:$C$58,2,FALSE),FALSE))</f>
        <v/>
      </c>
      <c r="J18" s="80" t="str">
        <f t="shared" si="2"/>
        <v/>
      </c>
      <c r="K18" s="207" t="str">
        <f>IF(ISBLANK(A18),"",VLOOKUP(A18,gsrates!$A$3:$AK$38,VLOOKUP($B$6,gsrates!$A$41:$C$58,3,FALSE),FALSE))</f>
        <v/>
      </c>
      <c r="L18" s="207" t="str">
        <f t="shared" si="3"/>
        <v/>
      </c>
      <c r="M18" s="80" t="str">
        <f t="shared" si="4"/>
        <v/>
      </c>
      <c r="N18" s="177">
        <v>0</v>
      </c>
      <c r="O18" s="207" t="str">
        <f t="shared" si="5"/>
        <v/>
      </c>
      <c r="P18" s="80" t="str">
        <f t="shared" si="6"/>
        <v/>
      </c>
      <c r="Q18" s="155" t="str">
        <f t="shared" si="7"/>
        <v/>
      </c>
      <c r="R18" s="166" t="str">
        <f t="shared" si="8"/>
        <v/>
      </c>
      <c r="S18" s="41"/>
      <c r="T18" s="41" t="str">
        <f t="shared" si="9"/>
        <v/>
      </c>
    </row>
    <row r="19" spans="1:147" outlineLevel="1" x14ac:dyDescent="0.3">
      <c r="A19" s="160"/>
      <c r="B19" s="160"/>
      <c r="C19" s="87"/>
      <c r="D19" s="161"/>
      <c r="E19" s="161"/>
      <c r="F19" s="162"/>
      <c r="G19" s="163" t="str">
        <f t="shared" si="0"/>
        <v/>
      </c>
      <c r="H19" s="164" t="str">
        <f t="shared" si="1"/>
        <v/>
      </c>
      <c r="I19" s="176" t="str">
        <f>IF(ISBLANK(A19),"",VLOOKUP(A19,gsrates!$A$3:$AK$38,VLOOKUP($B$6,gsrates!$A$41:$C$58,2,FALSE),FALSE))</f>
        <v/>
      </c>
      <c r="J19" s="80" t="str">
        <f t="shared" si="2"/>
        <v/>
      </c>
      <c r="K19" s="207" t="str">
        <f>IF(ISBLANK(A19),"",VLOOKUP(A19,gsrates!$A$3:$AK$38,VLOOKUP($B$6,gsrates!$A$41:$C$58,3,FALSE),FALSE))</f>
        <v/>
      </c>
      <c r="L19" s="207" t="str">
        <f t="shared" si="3"/>
        <v/>
      </c>
      <c r="M19" s="80" t="str">
        <f t="shared" si="4"/>
        <v/>
      </c>
      <c r="N19" s="177">
        <v>0</v>
      </c>
      <c r="O19" s="207" t="str">
        <f t="shared" si="5"/>
        <v/>
      </c>
      <c r="P19" s="80" t="str">
        <f t="shared" si="6"/>
        <v/>
      </c>
      <c r="Q19" s="155" t="str">
        <f t="shared" si="7"/>
        <v/>
      </c>
      <c r="R19" s="166" t="str">
        <f t="shared" si="8"/>
        <v/>
      </c>
      <c r="S19" s="41"/>
      <c r="T19" s="41" t="str">
        <f t="shared" si="9"/>
        <v/>
      </c>
    </row>
    <row r="20" spans="1:147" outlineLevel="1" x14ac:dyDescent="0.3">
      <c r="A20" s="160"/>
      <c r="B20" s="160"/>
      <c r="C20" s="87"/>
      <c r="D20" s="161"/>
      <c r="E20" s="161"/>
      <c r="F20" s="162"/>
      <c r="G20" s="163" t="str">
        <f t="shared" si="0"/>
        <v/>
      </c>
      <c r="H20" s="164" t="str">
        <f t="shared" si="1"/>
        <v/>
      </c>
      <c r="I20" s="176" t="str">
        <f>IF(ISBLANK(A20),"",VLOOKUP(A20,gsrates!$A$3:$AK$38,VLOOKUP($B$6,gsrates!$A$41:$C$58,2,FALSE),FALSE))</f>
        <v/>
      </c>
      <c r="J20" s="80" t="str">
        <f t="shared" si="2"/>
        <v/>
      </c>
      <c r="K20" s="207" t="str">
        <f>IF(ISBLANK(A20),"",VLOOKUP(A20,gsrates!$A$3:$AK$38,VLOOKUP($B$6,gsrates!$A$41:$C$58,3,FALSE),FALSE))</f>
        <v/>
      </c>
      <c r="L20" s="207" t="str">
        <f t="shared" si="3"/>
        <v/>
      </c>
      <c r="M20" s="80" t="str">
        <f t="shared" si="4"/>
        <v/>
      </c>
      <c r="N20" s="177">
        <v>0</v>
      </c>
      <c r="O20" s="207" t="str">
        <f t="shared" si="5"/>
        <v/>
      </c>
      <c r="P20" s="80" t="str">
        <f t="shared" si="6"/>
        <v/>
      </c>
      <c r="Q20" s="155" t="str">
        <f t="shared" si="7"/>
        <v/>
      </c>
      <c r="R20" s="166" t="str">
        <f t="shared" si="8"/>
        <v/>
      </c>
      <c r="S20" s="41"/>
      <c r="T20" s="41" t="str">
        <f t="shared" si="9"/>
        <v/>
      </c>
    </row>
    <row r="21" spans="1:147" outlineLevel="1" x14ac:dyDescent="0.3">
      <c r="A21" s="160"/>
      <c r="B21" s="160"/>
      <c r="C21" s="87"/>
      <c r="D21" s="161"/>
      <c r="E21" s="161"/>
      <c r="F21" s="162"/>
      <c r="G21" s="163" t="str">
        <f t="shared" si="0"/>
        <v/>
      </c>
      <c r="H21" s="164" t="str">
        <f t="shared" si="1"/>
        <v/>
      </c>
      <c r="I21" s="176" t="str">
        <f>IF(ISBLANK(A21),"",VLOOKUP(A21,gsrates!$A$3:$AK$38,VLOOKUP($B$6,gsrates!$A$41:$C$58,2,FALSE),FALSE))</f>
        <v/>
      </c>
      <c r="J21" s="80" t="str">
        <f t="shared" si="2"/>
        <v/>
      </c>
      <c r="K21" s="207" t="str">
        <f>IF(ISBLANK(A21),"",VLOOKUP(A21,gsrates!$A$3:$AK$38,VLOOKUP($B$6,gsrates!$A$41:$C$58,3,FALSE),FALSE))</f>
        <v/>
      </c>
      <c r="L21" s="207" t="str">
        <f t="shared" si="3"/>
        <v/>
      </c>
      <c r="M21" s="80" t="str">
        <f t="shared" si="4"/>
        <v/>
      </c>
      <c r="N21" s="177">
        <v>0</v>
      </c>
      <c r="O21" s="207" t="str">
        <f t="shared" si="5"/>
        <v/>
      </c>
      <c r="P21" s="80" t="str">
        <f t="shared" si="6"/>
        <v/>
      </c>
      <c r="Q21" s="155" t="str">
        <f t="shared" si="7"/>
        <v/>
      </c>
      <c r="R21" s="166" t="str">
        <f t="shared" si="8"/>
        <v/>
      </c>
      <c r="S21" s="41"/>
      <c r="T21" s="41" t="str">
        <f t="shared" si="9"/>
        <v/>
      </c>
    </row>
    <row r="22" spans="1:147" outlineLevel="1" x14ac:dyDescent="0.3">
      <c r="A22" s="160"/>
      <c r="B22" s="160"/>
      <c r="C22" s="87"/>
      <c r="D22" s="161"/>
      <c r="E22" s="161"/>
      <c r="F22" s="162"/>
      <c r="G22" s="163" t="str">
        <f t="shared" si="0"/>
        <v/>
      </c>
      <c r="H22" s="164" t="str">
        <f t="shared" si="1"/>
        <v/>
      </c>
      <c r="I22" s="176" t="str">
        <f>IF(ISBLANK(A22),"",VLOOKUP(A22,gsrates!$A$3:$AK$38,VLOOKUP($B$6,gsrates!$A$41:$C$58,2,FALSE),FALSE))</f>
        <v/>
      </c>
      <c r="J22" s="80" t="str">
        <f t="shared" si="2"/>
        <v/>
      </c>
      <c r="K22" s="207" t="str">
        <f>IF(ISBLANK(A22),"",VLOOKUP(A22,gsrates!$A$3:$AK$38,VLOOKUP($B$6,gsrates!$A$41:$C$58,3,FALSE),FALSE))</f>
        <v/>
      </c>
      <c r="L22" s="207" t="str">
        <f t="shared" si="3"/>
        <v/>
      </c>
      <c r="M22" s="80" t="str">
        <f t="shared" si="4"/>
        <v/>
      </c>
      <c r="N22" s="177">
        <v>0</v>
      </c>
      <c r="O22" s="207" t="str">
        <f t="shared" si="5"/>
        <v/>
      </c>
      <c r="P22" s="80" t="str">
        <f t="shared" si="6"/>
        <v/>
      </c>
      <c r="Q22" s="155" t="str">
        <f t="shared" si="7"/>
        <v/>
      </c>
      <c r="R22" s="166" t="str">
        <f t="shared" si="8"/>
        <v/>
      </c>
      <c r="S22" s="41"/>
      <c r="T22" s="41" t="str">
        <f t="shared" si="9"/>
        <v/>
      </c>
    </row>
    <row r="23" spans="1:147" outlineLevel="1" x14ac:dyDescent="0.3">
      <c r="A23" s="160"/>
      <c r="B23" s="160"/>
      <c r="C23" s="87"/>
      <c r="D23" s="161"/>
      <c r="E23" s="161"/>
      <c r="F23" s="162"/>
      <c r="G23" s="163" t="str">
        <f t="shared" si="0"/>
        <v/>
      </c>
      <c r="H23" s="164" t="str">
        <f t="shared" si="1"/>
        <v/>
      </c>
      <c r="I23" s="176" t="str">
        <f>IF(ISBLANK(A23),"",VLOOKUP(A23,gsrates!$A$3:$AK$38,VLOOKUP($B$6,gsrates!$A$41:$C$58,2,FALSE),FALSE))</f>
        <v/>
      </c>
      <c r="J23" s="80" t="str">
        <f t="shared" si="2"/>
        <v/>
      </c>
      <c r="K23" s="207" t="str">
        <f>IF(ISBLANK(A23),"",VLOOKUP(A23,gsrates!$A$3:$AK$38,VLOOKUP($B$6,gsrates!$A$41:$C$58,3,FALSE),FALSE))</f>
        <v/>
      </c>
      <c r="L23" s="207" t="str">
        <f t="shared" si="3"/>
        <v/>
      </c>
      <c r="M23" s="80" t="str">
        <f t="shared" si="4"/>
        <v/>
      </c>
      <c r="N23" s="177">
        <v>0</v>
      </c>
      <c r="O23" s="207" t="str">
        <f t="shared" si="5"/>
        <v/>
      </c>
      <c r="P23" s="80" t="str">
        <f t="shared" si="6"/>
        <v/>
      </c>
      <c r="Q23" s="155" t="str">
        <f t="shared" si="7"/>
        <v/>
      </c>
      <c r="R23" s="166" t="str">
        <f t="shared" si="8"/>
        <v/>
      </c>
      <c r="S23" s="41"/>
      <c r="T23" s="41" t="str">
        <f t="shared" si="9"/>
        <v/>
      </c>
    </row>
    <row r="24" spans="1:147" s="11" customFormat="1" ht="14.4" outlineLevel="1" thickBot="1" x14ac:dyDescent="0.35">
      <c r="A24" s="167"/>
      <c r="B24" s="167"/>
      <c r="C24" s="167"/>
      <c r="D24" s="168"/>
      <c r="E24" s="168"/>
      <c r="F24" s="169"/>
      <c r="G24" s="170" t="str">
        <f t="shared" si="0"/>
        <v/>
      </c>
      <c r="H24" s="171" t="str">
        <f t="shared" si="1"/>
        <v/>
      </c>
      <c r="I24" s="178" t="str">
        <f>IF(ISBLANK(A24),"",VLOOKUP(A24,gsrates!$A$3:$AK$38,VLOOKUP($B$6,gsrates!$A$41:$C$58,2,FALSE),FALSE))</f>
        <v/>
      </c>
      <c r="J24" s="82" t="str">
        <f t="shared" si="2"/>
        <v/>
      </c>
      <c r="K24" s="208" t="str">
        <f>IF(ISBLANK(A24),"",VLOOKUP(A24,gsrates!$A$3:$AK$38,VLOOKUP($B$6,gsrates!$A$41:$C$58,3,FALSE),FALSE))</f>
        <v/>
      </c>
      <c r="L24" s="208" t="str">
        <f t="shared" si="3"/>
        <v/>
      </c>
      <c r="M24" s="82" t="str">
        <f t="shared" si="4"/>
        <v/>
      </c>
      <c r="N24" s="175">
        <v>0</v>
      </c>
      <c r="O24" s="208" t="str">
        <f t="shared" si="5"/>
        <v/>
      </c>
      <c r="P24" s="82" t="str">
        <f t="shared" si="6"/>
        <v/>
      </c>
      <c r="Q24" s="158" t="str">
        <f t="shared" si="7"/>
        <v/>
      </c>
      <c r="R24" s="173" t="str">
        <f t="shared" si="8"/>
        <v/>
      </c>
      <c r="S24" s="174"/>
      <c r="T24" s="41" t="str">
        <f t="shared" si="9"/>
        <v/>
      </c>
      <c r="U24" s="41"/>
      <c r="V24" s="41"/>
      <c r="W24" s="41"/>
      <c r="X24" s="41"/>
      <c r="Y24" s="41"/>
      <c r="Z24" s="41"/>
      <c r="AA24" s="41"/>
      <c r="AB24" s="41"/>
      <c r="AC24" s="41"/>
      <c r="AD24" s="41"/>
      <c r="AE24" s="41"/>
      <c r="AF24" s="41"/>
      <c r="AG24" s="41"/>
      <c r="AH24" s="41"/>
      <c r="AI24" s="41"/>
      <c r="AJ24" s="41"/>
      <c r="AK24" s="41"/>
      <c r="AL24" s="41"/>
      <c r="AM24" s="41"/>
      <c r="AN24" s="41"/>
      <c r="AO24" s="41"/>
      <c r="AP24" s="41"/>
      <c r="AQ24" s="41"/>
      <c r="AR24" s="41"/>
      <c r="AS24" s="41"/>
      <c r="AT24" s="41"/>
      <c r="AU24" s="41"/>
      <c r="AV24" s="41"/>
      <c r="AW24" s="41"/>
      <c r="AX24" s="41"/>
      <c r="AY24" s="41"/>
      <c r="AZ24" s="41"/>
      <c r="BA24" s="41"/>
      <c r="BB24" s="41"/>
      <c r="BC24" s="41"/>
      <c r="BD24" s="41"/>
      <c r="BE24" s="41"/>
      <c r="BF24" s="41"/>
      <c r="BG24" s="41"/>
      <c r="BH24" s="41"/>
      <c r="BI24" s="41"/>
      <c r="BJ24" s="41"/>
      <c r="BK24" s="41"/>
      <c r="BL24" s="41"/>
      <c r="BM24" s="41"/>
      <c r="BN24" s="41"/>
      <c r="BO24" s="41"/>
      <c r="BP24" s="41"/>
      <c r="BQ24" s="41"/>
      <c r="BR24" s="41"/>
      <c r="BS24" s="41"/>
      <c r="BT24" s="41"/>
      <c r="BU24" s="41"/>
      <c r="BV24" s="41"/>
      <c r="BW24" s="41"/>
      <c r="BX24" s="41"/>
      <c r="BY24" s="41"/>
      <c r="BZ24" s="41"/>
      <c r="CA24" s="41"/>
      <c r="CB24" s="41"/>
      <c r="CC24" s="41"/>
      <c r="CD24" s="41"/>
      <c r="CE24" s="41"/>
      <c r="CF24" s="41"/>
      <c r="CG24" s="41"/>
      <c r="CH24" s="41"/>
      <c r="CI24" s="41"/>
      <c r="CJ24" s="41"/>
      <c r="CK24" s="41"/>
      <c r="CL24" s="41"/>
      <c r="CM24" s="41"/>
      <c r="CN24" s="41"/>
      <c r="CO24" s="41"/>
      <c r="CP24" s="41"/>
      <c r="CQ24" s="41"/>
      <c r="CR24" s="41"/>
      <c r="CS24" s="41"/>
      <c r="CT24" s="41"/>
      <c r="CU24" s="41"/>
      <c r="CV24" s="41"/>
      <c r="CW24" s="41"/>
      <c r="CX24" s="41"/>
      <c r="CY24" s="41"/>
      <c r="CZ24" s="41"/>
      <c r="DA24" s="41"/>
      <c r="DB24" s="41"/>
      <c r="DC24" s="41"/>
      <c r="DD24" s="41"/>
      <c r="DE24" s="41"/>
      <c r="DF24" s="41"/>
      <c r="DG24" s="41"/>
      <c r="DH24" s="41"/>
      <c r="DI24" s="41"/>
      <c r="DJ24" s="41"/>
      <c r="DK24" s="41"/>
      <c r="DL24" s="41"/>
      <c r="DM24" s="41"/>
      <c r="DN24" s="41"/>
      <c r="DO24" s="41"/>
      <c r="DP24" s="41"/>
      <c r="DQ24" s="41"/>
      <c r="DR24" s="41"/>
      <c r="DS24" s="41"/>
      <c r="DT24" s="41"/>
      <c r="DU24" s="41"/>
      <c r="DV24" s="41"/>
      <c r="DW24" s="41"/>
      <c r="DX24" s="41"/>
      <c r="DY24" s="41"/>
      <c r="DZ24" s="41"/>
      <c r="EA24" s="41"/>
      <c r="EB24" s="41"/>
      <c r="EC24" s="41"/>
      <c r="ED24" s="41"/>
      <c r="EE24" s="41"/>
      <c r="EF24" s="41"/>
      <c r="EG24" s="41"/>
      <c r="EH24" s="41"/>
      <c r="EI24" s="41"/>
      <c r="EJ24" s="41"/>
      <c r="EK24" s="41"/>
      <c r="EL24" s="41"/>
      <c r="EM24" s="41"/>
      <c r="EN24" s="41"/>
      <c r="EO24" s="41"/>
      <c r="EP24" s="41"/>
      <c r="EQ24" s="41"/>
    </row>
    <row r="25" spans="1:147" x14ac:dyDescent="0.3">
      <c r="A25" s="393" t="s">
        <v>11</v>
      </c>
      <c r="B25" s="393"/>
      <c r="C25" s="273"/>
      <c r="D25" s="7"/>
      <c r="E25" s="7"/>
      <c r="F25" s="8"/>
      <c r="G25" s="9">
        <f>SUM(G15:G24)</f>
        <v>0</v>
      </c>
      <c r="H25" s="9">
        <f>SUM(H15:H24)</f>
        <v>0</v>
      </c>
      <c r="I25" s="31"/>
      <c r="J25" s="36">
        <f>SUM(J15:J24)</f>
        <v>0</v>
      </c>
      <c r="K25" s="209"/>
      <c r="L25" s="209">
        <f>SUM(L15:L24)</f>
        <v>0</v>
      </c>
      <c r="M25" s="36">
        <f>SUM(M15:M24)</f>
        <v>0</v>
      </c>
      <c r="N25" s="33"/>
      <c r="O25" s="209">
        <f>SUM(O15:O24)</f>
        <v>0</v>
      </c>
      <c r="P25" s="36">
        <f>SUM(P15:P24)</f>
        <v>0</v>
      </c>
      <c r="Q25" s="15" t="str">
        <f>IF(G25=0,"",P25/O25)</f>
        <v/>
      </c>
      <c r="R25" s="8" t="str">
        <f>IF(G25=0,"",1-O25/J25)</f>
        <v/>
      </c>
    </row>
    <row r="26" spans="1:147" x14ac:dyDescent="0.3">
      <c r="D26" s="7"/>
      <c r="E26" s="7"/>
      <c r="F26" s="8"/>
      <c r="G26" s="9"/>
      <c r="H26" s="9"/>
      <c r="I26" s="31"/>
      <c r="J26" s="36"/>
      <c r="K26" s="209"/>
      <c r="L26" s="209"/>
      <c r="M26" s="36"/>
      <c r="N26" s="33"/>
      <c r="O26" s="209"/>
      <c r="P26" s="36"/>
      <c r="Q26" s="10"/>
      <c r="R26" s="8"/>
    </row>
    <row r="27" spans="1:147" outlineLevel="1" x14ac:dyDescent="0.3">
      <c r="B27" s="3"/>
      <c r="C27" s="3"/>
      <c r="D27" s="5"/>
      <c r="E27" s="5"/>
      <c r="F27" s="5"/>
      <c r="G27" s="6"/>
      <c r="H27" s="118"/>
      <c r="I27" s="34"/>
      <c r="J27" s="38"/>
      <c r="K27" s="210"/>
      <c r="L27" s="210"/>
      <c r="M27" s="38"/>
      <c r="N27" s="34"/>
      <c r="O27" s="210"/>
      <c r="P27" s="38"/>
      <c r="Q27" s="6"/>
      <c r="R27" s="6"/>
    </row>
    <row r="28" spans="1:147" outlineLevel="1" x14ac:dyDescent="0.3">
      <c r="A28" s="12" t="s">
        <v>12</v>
      </c>
      <c r="B28" s="12" t="s">
        <v>55</v>
      </c>
      <c r="C28" s="12"/>
      <c r="D28" s="13" t="s">
        <v>56</v>
      </c>
      <c r="E28" s="13" t="s">
        <v>57</v>
      </c>
      <c r="F28" s="13" t="s">
        <v>7</v>
      </c>
      <c r="G28" s="13" t="s">
        <v>20</v>
      </c>
      <c r="H28" s="119" t="s">
        <v>83</v>
      </c>
      <c r="I28" s="40" t="s">
        <v>10</v>
      </c>
      <c r="J28" s="13" t="s">
        <v>58</v>
      </c>
      <c r="K28" s="206" t="s">
        <v>59</v>
      </c>
      <c r="L28" s="218" t="s">
        <v>31</v>
      </c>
      <c r="M28" s="39" t="s">
        <v>21</v>
      </c>
      <c r="N28" s="35" t="s">
        <v>22</v>
      </c>
      <c r="O28" s="218" t="s">
        <v>60</v>
      </c>
      <c r="P28" s="13" t="s">
        <v>32</v>
      </c>
      <c r="Q28" s="13" t="s">
        <v>23</v>
      </c>
      <c r="R28" s="13" t="s">
        <v>24</v>
      </c>
    </row>
    <row r="29" spans="1:147" outlineLevel="1" x14ac:dyDescent="0.3">
      <c r="A29" s="87"/>
      <c r="B29" s="87"/>
      <c r="C29" s="87"/>
      <c r="D29" s="88"/>
      <c r="E29" s="88"/>
      <c r="F29" s="162"/>
      <c r="G29" s="9" t="str">
        <f t="shared" ref="G29:G35" si="10">IF(ISBLANK(A29),"",NETWORKDAYS(D29,E29)*F29)</f>
        <v/>
      </c>
      <c r="H29" s="120" t="str">
        <f t="shared" ref="H29:H35" si="11">IF(ISBLANK(A29),"",G29*$B$10)</f>
        <v/>
      </c>
      <c r="I29" s="90"/>
      <c r="J29" s="36" t="str">
        <f t="shared" ref="J29:J35" si="12">IF(ISBLANK(A29),"",H29*I29)</f>
        <v/>
      </c>
      <c r="K29" s="211"/>
      <c r="L29" s="219" t="str">
        <f t="shared" ref="L29:L35" si="13">IF(ISBLANK(A29)," ",(K29*G29*$B$10))</f>
        <v xml:space="preserve"> </v>
      </c>
      <c r="M29" s="36" t="str">
        <f>IF(ISBLANK(A29),"",(I29*G29*8)-L29)</f>
        <v/>
      </c>
      <c r="N29" s="90"/>
      <c r="O29" s="209" t="str">
        <f t="shared" ref="O29:O35" si="14">IF(ISBLANK(A29),"",G29*N29*$B$10)</f>
        <v/>
      </c>
      <c r="P29" s="36" t="str">
        <f t="shared" ref="P29:P35" si="15">IF(ISBLANK(A29),"",O29-L29)</f>
        <v/>
      </c>
      <c r="Q29" s="15" t="str">
        <f t="shared" ref="Q29:Q35" si="16">IF(ISBLANK(A29),"",P29/O29)</f>
        <v/>
      </c>
      <c r="R29" s="8" t="str">
        <f t="shared" ref="R29:R35" si="17">IF(ISBLANK(A29),"",1-O29/J29)</f>
        <v/>
      </c>
      <c r="T29" s="41" t="str">
        <f t="shared" ref="T29:T35" si="18">IF(ISBLANK(A29),"",CONCATENATE(C29,"-",$B$6))</f>
        <v/>
      </c>
      <c r="X29" s="273"/>
    </row>
    <row r="30" spans="1:147" outlineLevel="1" x14ac:dyDescent="0.3">
      <c r="A30" s="87"/>
      <c r="B30" s="87"/>
      <c r="C30" s="87"/>
      <c r="D30" s="88"/>
      <c r="E30" s="88"/>
      <c r="F30" s="162"/>
      <c r="G30" s="9" t="str">
        <f t="shared" si="10"/>
        <v/>
      </c>
      <c r="H30" s="120" t="str">
        <f t="shared" si="11"/>
        <v/>
      </c>
      <c r="I30" s="90"/>
      <c r="J30" s="36" t="str">
        <f t="shared" si="12"/>
        <v/>
      </c>
      <c r="K30" s="211"/>
      <c r="L30" s="219" t="str">
        <f t="shared" si="13"/>
        <v xml:space="preserve"> </v>
      </c>
      <c r="M30" s="36" t="str">
        <f t="shared" ref="M30:M35" si="19">IF(ISBLANK(A30),"",J30-L30)</f>
        <v/>
      </c>
      <c r="N30" s="90"/>
      <c r="O30" s="209" t="str">
        <f t="shared" si="14"/>
        <v/>
      </c>
      <c r="P30" s="36" t="str">
        <f t="shared" si="15"/>
        <v/>
      </c>
      <c r="Q30" s="15" t="str">
        <f t="shared" si="16"/>
        <v/>
      </c>
      <c r="R30" s="8" t="str">
        <f t="shared" si="17"/>
        <v/>
      </c>
      <c r="T30" s="41" t="str">
        <f t="shared" si="18"/>
        <v/>
      </c>
    </row>
    <row r="31" spans="1:147" outlineLevel="1" x14ac:dyDescent="0.3">
      <c r="A31" s="87"/>
      <c r="B31" s="87"/>
      <c r="C31" s="87"/>
      <c r="D31" s="88"/>
      <c r="E31" s="88"/>
      <c r="F31" s="162"/>
      <c r="G31" s="9" t="str">
        <f t="shared" si="10"/>
        <v/>
      </c>
      <c r="H31" s="120" t="str">
        <f t="shared" si="11"/>
        <v/>
      </c>
      <c r="I31" s="90"/>
      <c r="J31" s="36" t="str">
        <f t="shared" si="12"/>
        <v/>
      </c>
      <c r="K31" s="211"/>
      <c r="L31" s="219" t="str">
        <f t="shared" si="13"/>
        <v xml:space="preserve"> </v>
      </c>
      <c r="M31" s="36" t="str">
        <f t="shared" si="19"/>
        <v/>
      </c>
      <c r="N31" s="90"/>
      <c r="O31" s="209" t="str">
        <f t="shared" si="14"/>
        <v/>
      </c>
      <c r="P31" s="36" t="str">
        <f t="shared" si="15"/>
        <v/>
      </c>
      <c r="Q31" s="15" t="str">
        <f t="shared" si="16"/>
        <v/>
      </c>
      <c r="R31" s="8" t="str">
        <f t="shared" si="17"/>
        <v/>
      </c>
      <c r="T31" s="41" t="str">
        <f t="shared" si="18"/>
        <v/>
      </c>
    </row>
    <row r="32" spans="1:147" outlineLevel="1" x14ac:dyDescent="0.3">
      <c r="A32" s="87"/>
      <c r="B32" s="87"/>
      <c r="C32" s="87"/>
      <c r="D32" s="88"/>
      <c r="E32" s="88"/>
      <c r="F32" s="162"/>
      <c r="G32" s="9" t="str">
        <f t="shared" si="10"/>
        <v/>
      </c>
      <c r="H32" s="120" t="str">
        <f t="shared" si="11"/>
        <v/>
      </c>
      <c r="I32" s="90"/>
      <c r="J32" s="36" t="str">
        <f t="shared" si="12"/>
        <v/>
      </c>
      <c r="K32" s="211"/>
      <c r="L32" s="219" t="str">
        <f t="shared" si="13"/>
        <v xml:space="preserve"> </v>
      </c>
      <c r="M32" s="36" t="str">
        <f t="shared" si="19"/>
        <v/>
      </c>
      <c r="N32" s="90"/>
      <c r="O32" s="209" t="str">
        <f t="shared" si="14"/>
        <v/>
      </c>
      <c r="P32" s="36" t="str">
        <f t="shared" si="15"/>
        <v/>
      </c>
      <c r="Q32" s="15" t="str">
        <f t="shared" si="16"/>
        <v/>
      </c>
      <c r="R32" s="8" t="str">
        <f t="shared" si="17"/>
        <v/>
      </c>
      <c r="T32" s="41" t="str">
        <f t="shared" si="18"/>
        <v/>
      </c>
    </row>
    <row r="33" spans="1:147" outlineLevel="1" x14ac:dyDescent="0.3">
      <c r="A33" s="87"/>
      <c r="B33" s="87"/>
      <c r="C33" s="87"/>
      <c r="D33" s="88"/>
      <c r="E33" s="88"/>
      <c r="F33" s="162"/>
      <c r="G33" s="9" t="str">
        <f t="shared" si="10"/>
        <v/>
      </c>
      <c r="H33" s="120" t="str">
        <f t="shared" si="11"/>
        <v/>
      </c>
      <c r="I33" s="90"/>
      <c r="J33" s="36" t="str">
        <f t="shared" si="12"/>
        <v/>
      </c>
      <c r="K33" s="211"/>
      <c r="L33" s="219" t="str">
        <f t="shared" si="13"/>
        <v xml:space="preserve"> </v>
      </c>
      <c r="M33" s="36" t="str">
        <f t="shared" si="19"/>
        <v/>
      </c>
      <c r="N33" s="90"/>
      <c r="O33" s="209" t="str">
        <f t="shared" si="14"/>
        <v/>
      </c>
      <c r="P33" s="36" t="str">
        <f t="shared" si="15"/>
        <v/>
      </c>
      <c r="Q33" s="15" t="str">
        <f t="shared" si="16"/>
        <v/>
      </c>
      <c r="R33" s="8" t="str">
        <f t="shared" si="17"/>
        <v/>
      </c>
      <c r="T33" s="41" t="str">
        <f t="shared" si="18"/>
        <v/>
      </c>
    </row>
    <row r="34" spans="1:147" outlineLevel="1" x14ac:dyDescent="0.3">
      <c r="A34" s="87"/>
      <c r="B34" s="87"/>
      <c r="C34" s="87"/>
      <c r="D34" s="88"/>
      <c r="E34" s="88"/>
      <c r="F34" s="162"/>
      <c r="G34" s="9" t="str">
        <f t="shared" si="10"/>
        <v/>
      </c>
      <c r="H34" s="120" t="str">
        <f t="shared" si="11"/>
        <v/>
      </c>
      <c r="I34" s="90"/>
      <c r="J34" s="36" t="str">
        <f t="shared" si="12"/>
        <v/>
      </c>
      <c r="K34" s="211"/>
      <c r="L34" s="219" t="str">
        <f t="shared" si="13"/>
        <v xml:space="preserve"> </v>
      </c>
      <c r="M34" s="36" t="str">
        <f t="shared" si="19"/>
        <v/>
      </c>
      <c r="N34" s="90"/>
      <c r="O34" s="209" t="str">
        <f t="shared" si="14"/>
        <v/>
      </c>
      <c r="P34" s="36" t="str">
        <f t="shared" si="15"/>
        <v/>
      </c>
      <c r="Q34" s="15" t="str">
        <f t="shared" si="16"/>
        <v/>
      </c>
      <c r="R34" s="8" t="str">
        <f t="shared" si="17"/>
        <v/>
      </c>
      <c r="T34" s="41" t="str">
        <f t="shared" si="18"/>
        <v/>
      </c>
    </row>
    <row r="35" spans="1:147" s="11" customFormat="1" ht="14.4" outlineLevel="1" thickBot="1" x14ac:dyDescent="0.35">
      <c r="A35" s="167"/>
      <c r="B35" s="167"/>
      <c r="C35" s="167"/>
      <c r="D35" s="168"/>
      <c r="E35" s="168"/>
      <c r="F35" s="169"/>
      <c r="G35" s="170" t="str">
        <f t="shared" si="10"/>
        <v/>
      </c>
      <c r="H35" s="171" t="str">
        <f t="shared" si="11"/>
        <v/>
      </c>
      <c r="I35" s="175"/>
      <c r="J35" s="82" t="str">
        <f t="shared" si="12"/>
        <v/>
      </c>
      <c r="K35" s="212"/>
      <c r="L35" s="220" t="str">
        <f t="shared" si="13"/>
        <v xml:space="preserve"> </v>
      </c>
      <c r="M35" s="82" t="str">
        <f t="shared" si="19"/>
        <v/>
      </c>
      <c r="N35" s="175"/>
      <c r="O35" s="208" t="str">
        <f t="shared" si="14"/>
        <v/>
      </c>
      <c r="P35" s="82" t="str">
        <f t="shared" si="15"/>
        <v/>
      </c>
      <c r="Q35" s="158" t="str">
        <f t="shared" si="16"/>
        <v/>
      </c>
      <c r="R35" s="173" t="str">
        <f t="shared" si="17"/>
        <v/>
      </c>
      <c r="S35" s="174"/>
      <c r="T35" s="41" t="str">
        <f t="shared" si="18"/>
        <v/>
      </c>
      <c r="U35" s="41"/>
      <c r="V35" s="41"/>
      <c r="W35" s="41"/>
      <c r="X35" s="41"/>
      <c r="Y35" s="41"/>
      <c r="Z35" s="41"/>
      <c r="AA35" s="41"/>
      <c r="AB35" s="41"/>
      <c r="AC35" s="41"/>
      <c r="AD35" s="41"/>
      <c r="AE35" s="41"/>
      <c r="AF35" s="41"/>
      <c r="AG35" s="41"/>
      <c r="AH35" s="41"/>
      <c r="AI35" s="41"/>
      <c r="AJ35" s="41"/>
      <c r="AK35" s="41"/>
      <c r="AL35" s="41"/>
      <c r="AM35" s="41"/>
      <c r="AN35" s="41"/>
      <c r="AO35" s="41"/>
      <c r="AP35" s="41"/>
      <c r="AQ35" s="41"/>
      <c r="AR35" s="41"/>
      <c r="AS35" s="41"/>
      <c r="AT35" s="41"/>
      <c r="AU35" s="41"/>
      <c r="AV35" s="41"/>
      <c r="AW35" s="41"/>
      <c r="AX35" s="41"/>
      <c r="AY35" s="41"/>
      <c r="AZ35" s="41"/>
      <c r="BA35" s="41"/>
      <c r="BB35" s="41"/>
      <c r="BC35" s="41"/>
      <c r="BD35" s="41"/>
      <c r="BE35" s="41"/>
      <c r="BF35" s="41"/>
      <c r="BG35" s="41"/>
      <c r="BH35" s="41"/>
      <c r="BI35" s="41"/>
      <c r="BJ35" s="41"/>
      <c r="BK35" s="41"/>
      <c r="BL35" s="41"/>
      <c r="BM35" s="41"/>
      <c r="BN35" s="41"/>
      <c r="BO35" s="41"/>
      <c r="BP35" s="41"/>
      <c r="BQ35" s="41"/>
      <c r="BR35" s="41"/>
      <c r="BS35" s="41"/>
      <c r="BT35" s="41"/>
      <c r="BU35" s="41"/>
      <c r="BV35" s="41"/>
      <c r="BW35" s="41"/>
      <c r="BX35" s="41"/>
      <c r="BY35" s="41"/>
      <c r="BZ35" s="41"/>
      <c r="CA35" s="41"/>
      <c r="CB35" s="41"/>
      <c r="CC35" s="41"/>
      <c r="CD35" s="41"/>
      <c r="CE35" s="41"/>
      <c r="CF35" s="41"/>
      <c r="CG35" s="41"/>
      <c r="CH35" s="41"/>
      <c r="CI35" s="41"/>
      <c r="CJ35" s="41"/>
      <c r="CK35" s="41"/>
      <c r="CL35" s="41"/>
      <c r="CM35" s="41"/>
      <c r="CN35" s="41"/>
      <c r="CO35" s="41"/>
      <c r="CP35" s="41"/>
      <c r="CQ35" s="41"/>
      <c r="CR35" s="41"/>
      <c r="CS35" s="41"/>
      <c r="CT35" s="41"/>
      <c r="CU35" s="41"/>
      <c r="CV35" s="41"/>
      <c r="CW35" s="41"/>
      <c r="CX35" s="41"/>
      <c r="CY35" s="41"/>
      <c r="CZ35" s="41"/>
      <c r="DA35" s="41"/>
      <c r="DB35" s="41"/>
      <c r="DC35" s="41"/>
      <c r="DD35" s="41"/>
      <c r="DE35" s="41"/>
      <c r="DF35" s="41"/>
      <c r="DG35" s="41"/>
      <c r="DH35" s="41"/>
      <c r="DI35" s="41"/>
      <c r="DJ35" s="41"/>
      <c r="DK35" s="41"/>
      <c r="DL35" s="41"/>
      <c r="DM35" s="41"/>
      <c r="DN35" s="41"/>
      <c r="DO35" s="41"/>
      <c r="DP35" s="41"/>
      <c r="DQ35" s="41"/>
      <c r="DR35" s="41"/>
      <c r="DS35" s="41"/>
      <c r="DT35" s="41"/>
      <c r="DU35" s="41"/>
      <c r="DV35" s="41"/>
      <c r="DW35" s="41"/>
      <c r="DX35" s="41"/>
      <c r="DY35" s="41"/>
      <c r="DZ35" s="41"/>
      <c r="EA35" s="41"/>
      <c r="EB35" s="41"/>
      <c r="EC35" s="41"/>
      <c r="ED35" s="41"/>
      <c r="EE35" s="41"/>
      <c r="EF35" s="41"/>
      <c r="EG35" s="41"/>
      <c r="EH35" s="41"/>
      <c r="EI35" s="41"/>
      <c r="EJ35" s="41"/>
      <c r="EK35" s="41"/>
      <c r="EL35" s="41"/>
      <c r="EM35" s="41"/>
      <c r="EN35" s="41"/>
      <c r="EO35" s="41"/>
      <c r="EP35" s="41"/>
      <c r="EQ35" s="41"/>
    </row>
    <row r="36" spans="1:147" x14ac:dyDescent="0.3">
      <c r="A36" s="3" t="s">
        <v>13</v>
      </c>
      <c r="G36" s="9">
        <f>SUM(G29:G35)</f>
        <v>0</v>
      </c>
      <c r="H36" s="9">
        <f>SUM(H29:H35)</f>
        <v>0</v>
      </c>
      <c r="I36" s="31"/>
      <c r="J36" s="36">
        <f>SUM(J29:J35)</f>
        <v>0</v>
      </c>
      <c r="K36" s="209"/>
      <c r="L36" s="209">
        <f>SUM(L29:L35)</f>
        <v>0</v>
      </c>
      <c r="M36" s="36">
        <f>SUM(M29:M35)</f>
        <v>0</v>
      </c>
      <c r="N36" s="33"/>
      <c r="O36" s="209">
        <f>SUM(O29:O35)</f>
        <v>0</v>
      </c>
      <c r="P36" s="36">
        <f>SUM(P29:P35)</f>
        <v>0</v>
      </c>
      <c r="Q36" s="15">
        <f>IF(ISBLANK(A36),"",IF(O36&gt;0,P36/O36,0))</f>
        <v>0</v>
      </c>
      <c r="R36" s="8">
        <f>IF(ISBLANK(A36),"",IF(J36&gt;0,1-O36/J36,1))</f>
        <v>1</v>
      </c>
    </row>
    <row r="37" spans="1:147" x14ac:dyDescent="0.3">
      <c r="I37" s="31"/>
      <c r="J37" s="36"/>
      <c r="K37" s="209"/>
      <c r="L37" s="209"/>
      <c r="M37" s="36"/>
      <c r="O37" s="209"/>
      <c r="P37" s="36"/>
    </row>
    <row r="38" spans="1:147" x14ac:dyDescent="0.3">
      <c r="A38" s="3" t="s">
        <v>14</v>
      </c>
      <c r="G38" s="17">
        <f>IF($B$5="Fixed Price",RISK!$L$7*(G25+G36),RISK!$N$7*(G25+G36))</f>
        <v>0</v>
      </c>
      <c r="H38" s="120">
        <f>IF(ISBLANK(B7),0,G38*B10)</f>
        <v>0</v>
      </c>
      <c r="I38" s="33"/>
      <c r="J38" s="51">
        <f>IF($B$5="Fixed Price",RISK!$L$7*(J25+J36),RISK!$N$7*(J25+J36))</f>
        <v>0</v>
      </c>
      <c r="K38" s="209"/>
      <c r="L38" s="51">
        <f>IF($B$5="Fixed Price",RISK!$L$7*(L25+L36),RISK!$N$7*(L25+L36))</f>
        <v>0</v>
      </c>
      <c r="M38" s="51">
        <f>IF($B$5="Fixed Price",RISK!$L$7*(M25+M36),RISK!$N$7*(M25+M36))</f>
        <v>0</v>
      </c>
      <c r="O38" s="51">
        <f>IF($B$5="Fixed Price",RISK!$L$7*(O25+O36),RISK!$N$7*(O25+O36))</f>
        <v>0</v>
      </c>
      <c r="P38" s="51">
        <f>IF($B$5="Fixed Price",RISK!$L$7*(P25+P36),RISK!$N$7*(P25+P36))</f>
        <v>0</v>
      </c>
      <c r="Q38" s="15" t="str">
        <f>IF(G38=0,"",P38/O38)</f>
        <v/>
      </c>
      <c r="R38" s="8" t="str">
        <f>IF(G38=0,"",1-O38/J38)</f>
        <v/>
      </c>
    </row>
    <row r="39" spans="1:147" x14ac:dyDescent="0.3">
      <c r="A39" s="3" t="s">
        <v>173</v>
      </c>
      <c r="G39" s="17">
        <f>IF($B$5="Fixed Price",RISK!$M$7*(G25+G36)+RISK!$O$7*(G25+G36),0)</f>
        <v>0</v>
      </c>
      <c r="H39" s="120">
        <f>IF(ISBLANK(B7),0,G39*B10)</f>
        <v>0</v>
      </c>
      <c r="I39" s="33"/>
      <c r="J39" s="17">
        <f>IF($B$5="Fixed Price",RISK!$M$7*(J25+J36)+RISK!$O$7*(J25+J36),0)</f>
        <v>0</v>
      </c>
      <c r="K39" s="209"/>
      <c r="L39" s="17">
        <f>IF($B$5="Fixed Price",RISK!$M$7*(L25+L36)+RISK!$O$7*(L25+L36),0)</f>
        <v>0</v>
      </c>
      <c r="M39" s="17">
        <f>IF($B$5="Fixed Price",RISK!$M$7*(M25+M36)+RISK!$O$7*(M25+M36),0)</f>
        <v>0</v>
      </c>
      <c r="O39" s="17">
        <f>IF($B$5="Fixed Price",RISK!$M$7*(O25+O36)+RISK!$O$7*(O25+O36),0)</f>
        <v>0</v>
      </c>
      <c r="P39" s="17">
        <f>IF($B$5="Fixed Price",RISK!$M$7*(P25+P36)+RISK!$O$7*(P25+P36),0)</f>
        <v>0</v>
      </c>
      <c r="Q39" s="15" t="str">
        <f>IF(G39=0,"",P39/O39)</f>
        <v/>
      </c>
      <c r="R39" s="8" t="str">
        <f>IF(G39=0,"",1-O39/J39)</f>
        <v/>
      </c>
    </row>
    <row r="40" spans="1:147" x14ac:dyDescent="0.3">
      <c r="A40" s="3" t="s">
        <v>172</v>
      </c>
      <c r="G40" s="17">
        <f>IF($B$5="T&amp;M",RISK!$O$7*(G25+G36),0)</f>
        <v>0</v>
      </c>
      <c r="H40" s="120">
        <f>IF(ISBLANK(B7),0,G40*B10)</f>
        <v>0</v>
      </c>
      <c r="I40" s="33"/>
      <c r="J40" s="17">
        <f>IF($B$5="T&amp;M",RISK!$O$7*(J25+J36),0)</f>
        <v>0</v>
      </c>
      <c r="K40" s="209"/>
      <c r="L40" s="17">
        <f>IF($B$5="T&amp;M",RISK!$O$7*(L25+L36),0)</f>
        <v>0</v>
      </c>
      <c r="M40" s="17">
        <f>IF($B$5="T&amp;M",RISK!$O$7*(M25+M36),0)</f>
        <v>0</v>
      </c>
      <c r="O40" s="17">
        <f>IF($B$5="T&amp;M",RISK!$O$7*(O25+O36),0)</f>
        <v>0</v>
      </c>
      <c r="P40" s="17">
        <f>IF($B$5="T&amp;M",RISK!$O$7*(P25+P36),0)</f>
        <v>0</v>
      </c>
      <c r="Q40" s="15" t="str">
        <f>IF(G40=0,"",P40/O40)</f>
        <v/>
      </c>
      <c r="R40" s="8" t="str">
        <f>IF(G40=0,"",1-O40/J40)</f>
        <v/>
      </c>
    </row>
    <row r="41" spans="1:147" x14ac:dyDescent="0.3">
      <c r="A41" s="3" t="s">
        <v>147</v>
      </c>
      <c r="G41" s="17">
        <f>G25+G36+G38+G39+G40</f>
        <v>0</v>
      </c>
      <c r="H41" s="17">
        <f>H25+H36+H38+H39+H40</f>
        <v>0</v>
      </c>
      <c r="I41" s="33"/>
      <c r="J41" s="17">
        <f>J25+J36+J38+J39+J40</f>
        <v>0</v>
      </c>
      <c r="K41" s="209"/>
      <c r="L41" s="17">
        <f>L25+L36+L38+L39+L40</f>
        <v>0</v>
      </c>
      <c r="M41" s="17">
        <f>M25+M36+M38+M40+M51+M39</f>
        <v>0</v>
      </c>
      <c r="O41" s="17">
        <f>O25+O36+O38+O39+O40</f>
        <v>0</v>
      </c>
      <c r="P41" s="17">
        <f>P25+P36+P38+P40+P51+P39</f>
        <v>0</v>
      </c>
      <c r="Q41" s="15">
        <f>IF(ISBLANK(A41),"",IF(O41&gt;0,P41/O41,0))</f>
        <v>0</v>
      </c>
      <c r="R41" s="8"/>
    </row>
    <row r="42" spans="1:147" x14ac:dyDescent="0.3">
      <c r="A42" s="3"/>
      <c r="G42" s="17"/>
      <c r="H42" s="120"/>
      <c r="I42" s="33"/>
      <c r="J42" s="51"/>
      <c r="K42" s="209"/>
      <c r="L42" s="51"/>
      <c r="M42" s="51"/>
      <c r="O42" s="51"/>
      <c r="P42" s="51"/>
      <c r="Q42" s="15"/>
      <c r="R42" s="8"/>
    </row>
    <row r="43" spans="1:147" hidden="1" outlineLevel="1" x14ac:dyDescent="0.3">
      <c r="A43" s="12" t="s">
        <v>145</v>
      </c>
      <c r="B43" s="12"/>
      <c r="C43" s="12"/>
      <c r="D43" s="13" t="s">
        <v>56</v>
      </c>
      <c r="E43" s="13" t="s">
        <v>57</v>
      </c>
      <c r="F43" s="13" t="s">
        <v>149</v>
      </c>
      <c r="G43" s="13" t="s">
        <v>20</v>
      </c>
      <c r="H43" s="119" t="s">
        <v>83</v>
      </c>
      <c r="I43" s="40" t="s">
        <v>10</v>
      </c>
      <c r="J43" s="13" t="s">
        <v>58</v>
      </c>
      <c r="K43" s="206"/>
      <c r="L43" s="218" t="s">
        <v>31</v>
      </c>
      <c r="M43" s="39" t="s">
        <v>21</v>
      </c>
      <c r="N43" s="35" t="s">
        <v>22</v>
      </c>
      <c r="O43" s="218" t="s">
        <v>60</v>
      </c>
      <c r="P43" s="13" t="s">
        <v>32</v>
      </c>
      <c r="Q43" s="13"/>
      <c r="R43" s="13"/>
    </row>
    <row r="44" spans="1:147" hidden="1" outlineLevel="1" x14ac:dyDescent="0.3">
      <c r="A44" s="160"/>
      <c r="B44" s="160"/>
      <c r="C44" s="160"/>
      <c r="D44" s="161"/>
      <c r="E44" s="161"/>
      <c r="F44" s="162"/>
      <c r="G44" s="163" t="str">
        <f>IF(ISBLANK(A44),"",NETWORKDAYS(D44,E44)*F44)</f>
        <v/>
      </c>
      <c r="H44" s="164" t="str">
        <f>IF(ISBLANK(A44),"",G44*$B$10)</f>
        <v/>
      </c>
      <c r="I44" s="165">
        <v>0</v>
      </c>
      <c r="J44" s="80" t="str">
        <f>IF(ISBLANK(A44),"",H44*I44)</f>
        <v/>
      </c>
      <c r="K44" s="213">
        <v>0</v>
      </c>
      <c r="L44" s="221" t="str">
        <f>IF(ISBLANK(A44)," ",(K44*G44*$B$10))</f>
        <v xml:space="preserve"> </v>
      </c>
      <c r="M44" s="80" t="str">
        <f>IF(ISBLANK(A44),"",(I44*G44*8)-L44)</f>
        <v/>
      </c>
      <c r="N44" s="165">
        <v>0</v>
      </c>
      <c r="O44" s="207" t="str">
        <f>IF(ISBLANK(A44),"",G44*N44*$B$10)</f>
        <v/>
      </c>
      <c r="P44" s="80" t="str">
        <f>IF(ISBLANK(A44),"",O44-L44)</f>
        <v/>
      </c>
      <c r="Q44" s="155"/>
      <c r="R44" s="166"/>
      <c r="S44" s="41"/>
      <c r="T44" s="41" t="str">
        <f>IF(ISBLANK(A44),"",CONCATENATE(C44,"-",$B$6))</f>
        <v/>
      </c>
      <c r="X44" s="273"/>
    </row>
    <row r="45" spans="1:147" hidden="1" outlineLevel="1" x14ac:dyDescent="0.3">
      <c r="A45" s="160"/>
      <c r="B45" s="160"/>
      <c r="C45" s="160"/>
      <c r="D45" s="161"/>
      <c r="E45" s="161"/>
      <c r="F45" s="162"/>
      <c r="G45" s="163" t="str">
        <f>IF(ISBLANK(A45),"",NETWORKDAYS(D45,E45)*F45)</f>
        <v/>
      </c>
      <c r="H45" s="164" t="str">
        <f>IF(ISBLANK(A45),"",G45*$B$10)</f>
        <v/>
      </c>
      <c r="I45" s="165">
        <v>0</v>
      </c>
      <c r="J45" s="80" t="str">
        <f>IF(ISBLANK(A45),"",H45*I45)</f>
        <v/>
      </c>
      <c r="K45" s="213">
        <v>0</v>
      </c>
      <c r="L45" s="221" t="str">
        <f>IF(ISBLANK(A45)," ",(K45*G45*$B$10))</f>
        <v xml:space="preserve"> </v>
      </c>
      <c r="M45" s="80" t="str">
        <f>IF(ISBLANK(A45),"",J45-L45)</f>
        <v/>
      </c>
      <c r="N45" s="165">
        <v>0</v>
      </c>
      <c r="O45" s="207" t="str">
        <f>IF(ISBLANK(A45),"",G45*N45*$B$10)</f>
        <v/>
      </c>
      <c r="P45" s="80" t="str">
        <f>IF(ISBLANK(A45),"",O45-L45)</f>
        <v/>
      </c>
      <c r="Q45" s="155"/>
      <c r="R45" s="166"/>
      <c r="S45" s="41"/>
      <c r="T45" s="41" t="str">
        <f>IF(ISBLANK(A45),"",CONCATENATE(C45,"-",$B$6))</f>
        <v/>
      </c>
    </row>
    <row r="46" spans="1:147" hidden="1" outlineLevel="1" x14ac:dyDescent="0.3">
      <c r="A46" s="160"/>
      <c r="B46" s="160"/>
      <c r="C46" s="160"/>
      <c r="D46" s="161"/>
      <c r="E46" s="161"/>
      <c r="F46" s="162"/>
      <c r="G46" s="163" t="str">
        <f>IF(ISBLANK(A46),"",NETWORKDAYS(D46,E46)*F46)</f>
        <v/>
      </c>
      <c r="H46" s="164" t="str">
        <f>IF(ISBLANK(A46),"",G46*$B$10)</f>
        <v/>
      </c>
      <c r="I46" s="165">
        <v>0</v>
      </c>
      <c r="J46" s="80" t="str">
        <f>IF(ISBLANK(A46),"",H46*I46)</f>
        <v/>
      </c>
      <c r="K46" s="213">
        <v>0</v>
      </c>
      <c r="L46" s="221" t="str">
        <f>IF(ISBLANK(A46)," ",(K46*G46*$B$10))</f>
        <v xml:space="preserve"> </v>
      </c>
      <c r="M46" s="80" t="str">
        <f>IF(ISBLANK(A46),"",J46-L46)</f>
        <v/>
      </c>
      <c r="N46" s="165">
        <v>0</v>
      </c>
      <c r="O46" s="207" t="str">
        <f>IF(ISBLANK(A46),"",G46*N46*$B$10)</f>
        <v/>
      </c>
      <c r="P46" s="80" t="str">
        <f>IF(ISBLANK(A46),"",O46-L46)</f>
        <v/>
      </c>
      <c r="Q46" s="155" t="str">
        <f>IF(ISBLANK(A46),"",P46/O46)</f>
        <v/>
      </c>
      <c r="R46" s="166" t="str">
        <f>IF(ISBLANK(A46),"",1-O46/J46)</f>
        <v/>
      </c>
      <c r="S46" s="41"/>
      <c r="T46" s="41" t="str">
        <f>IF(ISBLANK(A46),"",CONCATENATE(C46,"-",$B$6))</f>
        <v/>
      </c>
    </row>
    <row r="47" spans="1:147" hidden="1" outlineLevel="1" x14ac:dyDescent="0.3">
      <c r="A47" s="160"/>
      <c r="B47" s="160"/>
      <c r="C47" s="160"/>
      <c r="D47" s="161"/>
      <c r="E47" s="161"/>
      <c r="F47" s="162"/>
      <c r="G47" s="163" t="str">
        <f>IF(ISBLANK(A47),"",NETWORKDAYS(D47,E47)*F47)</f>
        <v/>
      </c>
      <c r="H47" s="164" t="str">
        <f>IF(ISBLANK(A47),"",G47*$B$10)</f>
        <v/>
      </c>
      <c r="I47" s="165">
        <v>0</v>
      </c>
      <c r="J47" s="80" t="str">
        <f>IF(ISBLANK(A47),"",H47*I47)</f>
        <v/>
      </c>
      <c r="K47" s="213">
        <v>0</v>
      </c>
      <c r="L47" s="221" t="str">
        <f>IF(ISBLANK(A47)," ",(K47*G47*$B$10))</f>
        <v xml:space="preserve"> </v>
      </c>
      <c r="M47" s="80" t="str">
        <f>IF(ISBLANK(A47),"",J47-L47)</f>
        <v/>
      </c>
      <c r="N47" s="165">
        <v>0</v>
      </c>
      <c r="O47" s="207" t="str">
        <f>IF(ISBLANK(A47),"",G47*N47*$B$10)</f>
        <v/>
      </c>
      <c r="P47" s="80" t="str">
        <f>IF(ISBLANK(A47),"",O47-L47)</f>
        <v/>
      </c>
      <c r="Q47" s="155" t="str">
        <f>IF(ISBLANK(A47),"",P47/O47)</f>
        <v/>
      </c>
      <c r="R47" s="166" t="str">
        <f>IF(ISBLANK(A47),"",1-O47/J47)</f>
        <v/>
      </c>
      <c r="S47" s="41"/>
      <c r="T47" s="41" t="str">
        <f>IF(ISBLANK(A47),"",CONCATENATE(C47,"-",$B$6))</f>
        <v/>
      </c>
    </row>
    <row r="48" spans="1:147" ht="14.4" hidden="1" outlineLevel="1" thickBot="1" x14ac:dyDescent="0.35">
      <c r="A48" s="167"/>
      <c r="B48" s="167"/>
      <c r="C48" s="167"/>
      <c r="D48" s="168"/>
      <c r="E48" s="168"/>
      <c r="F48" s="169"/>
      <c r="G48" s="170" t="str">
        <f>IF(ISBLANK(A48),"",NETWORKDAYS(D48,E48)*F48)</f>
        <v/>
      </c>
      <c r="H48" s="171" t="str">
        <f>IF(ISBLANK(A48),"",G48*$B$10)</f>
        <v/>
      </c>
      <c r="I48" s="172">
        <v>0</v>
      </c>
      <c r="J48" s="82" t="str">
        <f>IF(ISBLANK(A48),"",H48*I48)</f>
        <v/>
      </c>
      <c r="K48" s="214">
        <v>0</v>
      </c>
      <c r="L48" s="220" t="str">
        <f>IF(ISBLANK(A48)," ",(K48*G48*$B$10))</f>
        <v xml:space="preserve"> </v>
      </c>
      <c r="M48" s="82" t="str">
        <f>IF(ISBLANK(A48),"",J48-L48)</f>
        <v/>
      </c>
      <c r="N48" s="172">
        <v>0</v>
      </c>
      <c r="O48" s="208" t="str">
        <f>IF(ISBLANK(A48),"",G48*N48*$B$10)</f>
        <v/>
      </c>
      <c r="P48" s="82" t="str">
        <f>IF(ISBLANK(A48),"",O48-L48)</f>
        <v/>
      </c>
      <c r="Q48" s="158" t="str">
        <f>IF(ISBLANK(A48),"",P48/O48)</f>
        <v/>
      </c>
      <c r="R48" s="173" t="str">
        <f>IF(ISBLANK(A48),"",1-O48/J48)</f>
        <v/>
      </c>
      <c r="S48" s="174"/>
      <c r="T48" s="41" t="str">
        <f>IF(ISBLANK(A48),"",CONCATENATE(C48,"-",$B$6))</f>
        <v/>
      </c>
    </row>
    <row r="49" spans="1:147" hidden="1" x14ac:dyDescent="0.3">
      <c r="A49" s="3" t="s">
        <v>146</v>
      </c>
      <c r="G49" s="17">
        <f>SUM(G44:G48)</f>
        <v>0</v>
      </c>
      <c r="H49" s="17">
        <f>SUM(H44:H48)</f>
        <v>0</v>
      </c>
      <c r="I49" s="33"/>
      <c r="J49" s="51"/>
      <c r="K49" s="209"/>
      <c r="L49" s="51"/>
      <c r="M49" s="51"/>
      <c r="O49" s="51"/>
      <c r="P49" s="51"/>
      <c r="Q49" s="15"/>
      <c r="R49" s="8"/>
    </row>
    <row r="50" spans="1:147" hidden="1" x14ac:dyDescent="0.3">
      <c r="A50" s="3"/>
      <c r="G50" s="17"/>
      <c r="H50" s="120"/>
      <c r="I50" s="33"/>
      <c r="J50" s="123"/>
      <c r="K50" s="209"/>
      <c r="L50" s="51"/>
      <c r="M50" s="51"/>
      <c r="O50" s="123"/>
      <c r="P50" s="51"/>
      <c r="Q50" s="15" t="str">
        <f>IF(G50=0,"",P50/O50)</f>
        <v/>
      </c>
      <c r="R50" s="8" t="str">
        <f>IF(G50=0,"",1-O50/J50)</f>
        <v/>
      </c>
    </row>
    <row r="51" spans="1:147" s="11" customFormat="1" x14ac:dyDescent="0.3">
      <c r="A51" s="12" t="s">
        <v>16</v>
      </c>
      <c r="H51" s="121"/>
      <c r="I51" s="32"/>
      <c r="J51" s="37"/>
      <c r="K51" s="215"/>
      <c r="L51" s="364">
        <v>0</v>
      </c>
      <c r="M51" s="37"/>
      <c r="N51" s="32"/>
      <c r="O51" s="215">
        <f>IF($B$5="Fixed Price",L51,0)</f>
        <v>0</v>
      </c>
      <c r="P51" s="37"/>
      <c r="Q51" s="18"/>
      <c r="T51" s="41"/>
      <c r="U51" s="41"/>
      <c r="V51" s="41"/>
      <c r="W51" s="41"/>
      <c r="X51" s="41"/>
      <c r="Y51" s="41"/>
      <c r="Z51" s="41"/>
      <c r="AA51" s="41"/>
      <c r="AB51" s="41"/>
      <c r="AC51" s="41"/>
      <c r="AD51" s="41"/>
      <c r="AE51" s="41"/>
      <c r="AF51" s="41"/>
      <c r="AG51" s="41"/>
      <c r="AH51" s="41"/>
      <c r="AI51" s="41"/>
      <c r="AJ51" s="41"/>
      <c r="AK51" s="41"/>
      <c r="AL51" s="41"/>
      <c r="AM51" s="41"/>
      <c r="AN51" s="41"/>
      <c r="AO51" s="41"/>
      <c r="AP51" s="41"/>
      <c r="AQ51" s="41"/>
      <c r="AR51" s="41"/>
      <c r="AS51" s="41"/>
      <c r="AT51" s="41"/>
      <c r="AU51" s="41"/>
      <c r="AV51" s="41"/>
      <c r="AW51" s="41"/>
      <c r="AX51" s="41"/>
      <c r="AY51" s="41"/>
      <c r="AZ51" s="41"/>
      <c r="BA51" s="41"/>
      <c r="BB51" s="41"/>
      <c r="BC51" s="41"/>
      <c r="BD51" s="41"/>
      <c r="BE51" s="41"/>
      <c r="BF51" s="41"/>
      <c r="BG51" s="41"/>
      <c r="BH51" s="41"/>
      <c r="BI51" s="41"/>
      <c r="BJ51" s="41"/>
      <c r="BK51" s="41"/>
      <c r="BL51" s="41"/>
      <c r="BM51" s="41"/>
      <c r="BN51" s="41"/>
      <c r="BO51" s="41"/>
      <c r="BP51" s="41"/>
      <c r="BQ51" s="41"/>
      <c r="BR51" s="41"/>
      <c r="BS51" s="41"/>
      <c r="BT51" s="41"/>
      <c r="BU51" s="41"/>
      <c r="BV51" s="41"/>
      <c r="BW51" s="41"/>
      <c r="BX51" s="41"/>
      <c r="BY51" s="41"/>
      <c r="BZ51" s="41"/>
      <c r="CA51" s="41"/>
      <c r="CB51" s="41"/>
      <c r="CC51" s="41"/>
      <c r="CD51" s="41"/>
      <c r="CE51" s="41"/>
      <c r="CF51" s="41"/>
      <c r="CG51" s="41"/>
      <c r="CH51" s="41"/>
      <c r="CI51" s="41"/>
      <c r="CJ51" s="41"/>
      <c r="CK51" s="41"/>
      <c r="CL51" s="41"/>
      <c r="CM51" s="41"/>
      <c r="CN51" s="41"/>
      <c r="CO51" s="41"/>
      <c r="CP51" s="41"/>
      <c r="CQ51" s="41"/>
      <c r="CR51" s="41"/>
      <c r="CS51" s="41"/>
      <c r="CT51" s="41"/>
      <c r="CU51" s="41"/>
      <c r="CV51" s="41"/>
      <c r="CW51" s="41"/>
      <c r="CX51" s="41"/>
      <c r="CY51" s="41"/>
      <c r="CZ51" s="41"/>
      <c r="DA51" s="41"/>
      <c r="DB51" s="41"/>
      <c r="DC51" s="41"/>
      <c r="DD51" s="41"/>
      <c r="DE51" s="41"/>
      <c r="DF51" s="41"/>
      <c r="DG51" s="41"/>
      <c r="DH51" s="41"/>
      <c r="DI51" s="41"/>
      <c r="DJ51" s="41"/>
      <c r="DK51" s="41"/>
      <c r="DL51" s="41"/>
      <c r="DM51" s="41"/>
      <c r="DN51" s="41"/>
      <c r="DO51" s="41"/>
      <c r="DP51" s="41"/>
      <c r="DQ51" s="41"/>
      <c r="DR51" s="41"/>
      <c r="DS51" s="41"/>
      <c r="DT51" s="41"/>
      <c r="DU51" s="41"/>
      <c r="DV51" s="41"/>
      <c r="DW51" s="41"/>
      <c r="DX51" s="41"/>
      <c r="DY51" s="41"/>
      <c r="DZ51" s="41"/>
      <c r="EA51" s="41"/>
      <c r="EB51" s="41"/>
      <c r="EC51" s="41"/>
      <c r="ED51" s="41"/>
      <c r="EE51" s="41"/>
      <c r="EF51" s="41"/>
      <c r="EG51" s="41"/>
      <c r="EH51" s="41"/>
      <c r="EI51" s="41"/>
      <c r="EJ51" s="41"/>
      <c r="EK51" s="41"/>
      <c r="EL51" s="41"/>
      <c r="EM51" s="41"/>
      <c r="EN51" s="41"/>
      <c r="EO51" s="41"/>
      <c r="EP51" s="41"/>
      <c r="EQ51" s="41"/>
    </row>
    <row r="52" spans="1:147" ht="15.6" x14ac:dyDescent="0.3">
      <c r="A52" s="14" t="s">
        <v>17</v>
      </c>
      <c r="G52" s="9">
        <f>G41+G49</f>
        <v>0</v>
      </c>
      <c r="H52" s="9">
        <f>H41+H49</f>
        <v>0</v>
      </c>
      <c r="I52" s="31"/>
      <c r="J52" s="36">
        <f>J41</f>
        <v>0</v>
      </c>
      <c r="K52" s="209"/>
      <c r="L52" s="209">
        <f>L41+L51</f>
        <v>0</v>
      </c>
      <c r="M52" s="36">
        <f>M41</f>
        <v>0</v>
      </c>
      <c r="N52" s="33"/>
      <c r="O52" s="209">
        <f>O41+O51</f>
        <v>0</v>
      </c>
      <c r="P52" s="36">
        <f>P41</f>
        <v>0</v>
      </c>
      <c r="Q52" s="15">
        <f>IF(ISBLANK(A52),"",IF(O52&gt;0,P52/O52,0))</f>
        <v>0</v>
      </c>
      <c r="R52" s="8">
        <f>IF(ISBLANK(A52),"",IF(J52&gt;0,1-O52/J52,1))</f>
        <v>1</v>
      </c>
    </row>
    <row r="53" spans="1:147" ht="4.5" customHeight="1" thickBot="1" x14ac:dyDescent="0.35">
      <c r="I53" s="31"/>
      <c r="J53" s="36"/>
      <c r="K53" s="209"/>
      <c r="L53" s="209"/>
      <c r="M53" s="36"/>
      <c r="O53" s="209"/>
      <c r="P53" s="36"/>
    </row>
    <row r="54" spans="1:147" ht="15.75" customHeight="1" thickBot="1" x14ac:dyDescent="0.35">
      <c r="A54" s="64" t="s">
        <v>62</v>
      </c>
      <c r="B54" s="65"/>
      <c r="C54" s="65"/>
      <c r="D54" s="65"/>
      <c r="E54" s="65"/>
      <c r="F54" s="65"/>
      <c r="G54" s="66"/>
      <c r="H54" s="122"/>
      <c r="I54" s="67"/>
      <c r="J54" s="68"/>
      <c r="K54" s="216"/>
      <c r="L54" s="216"/>
      <c r="M54" s="68"/>
      <c r="N54" s="67"/>
      <c r="O54" s="222">
        <f>O52</f>
        <v>0</v>
      </c>
      <c r="P54" s="44">
        <f>O54-L52</f>
        <v>0</v>
      </c>
      <c r="Q54" s="45">
        <f>IF(ISBLANK(A54),"",IF(O54&gt;0,P54/O54,0))</f>
        <v>0</v>
      </c>
      <c r="R54" s="46">
        <f>IF(ISBLANK(A54),"",IF(J52&gt;0,1-O54/J52,1))</f>
        <v>1</v>
      </c>
    </row>
    <row r="55" spans="1:147" ht="6" customHeight="1" x14ac:dyDescent="0.3">
      <c r="I55" s="31"/>
      <c r="J55" s="36"/>
      <c r="K55" s="209"/>
      <c r="L55" s="209"/>
      <c r="M55" s="36"/>
      <c r="O55" s="209"/>
      <c r="P55" s="36"/>
    </row>
    <row r="56" spans="1:147" outlineLevel="1" x14ac:dyDescent="0.3">
      <c r="A56" s="2" t="str">
        <f>IF($B$9="Estimate","Low Estimate","")</f>
        <v/>
      </c>
      <c r="G56" s="9">
        <f>G52*(1-$F$9)</f>
        <v>0</v>
      </c>
      <c r="H56" s="9">
        <f>H52*(1-$F$9)</f>
        <v>0</v>
      </c>
      <c r="I56" s="31"/>
      <c r="J56" s="36">
        <f>J52*(1-$F$9)</f>
        <v>0</v>
      </c>
      <c r="K56" s="209"/>
      <c r="L56" s="209">
        <f>L52*(1-$F$9)</f>
        <v>0</v>
      </c>
      <c r="M56" s="36">
        <f>M52*(1-$F$9)</f>
        <v>0</v>
      </c>
      <c r="N56" s="50"/>
      <c r="O56" s="209">
        <f>O52*(1-$F$9)</f>
        <v>0</v>
      </c>
      <c r="P56" s="36">
        <f>P52*(1-$F$9)</f>
        <v>0</v>
      </c>
      <c r="Q56" s="15">
        <f>IF(ISBLANK(A56),"",IF(O56&gt;0,P56/O56,0))</f>
        <v>0</v>
      </c>
      <c r="R56" s="8"/>
    </row>
    <row r="57" spans="1:147" outlineLevel="1" x14ac:dyDescent="0.3">
      <c r="A57" s="2" t="str">
        <f>IF($B$9="Estimate","High Estimate","")</f>
        <v/>
      </c>
      <c r="G57" s="9">
        <f>G52*(1+$F$10)</f>
        <v>0</v>
      </c>
      <c r="H57" s="9">
        <f>H52*(1+$F$10)</f>
        <v>0</v>
      </c>
      <c r="I57" s="31"/>
      <c r="J57" s="36">
        <f>J52*(1+$F$10)</f>
        <v>0</v>
      </c>
      <c r="K57" s="209"/>
      <c r="L57" s="209">
        <f>L52*(1+$F$10)</f>
        <v>0</v>
      </c>
      <c r="M57" s="36">
        <f>M52*(1+$F$10)</f>
        <v>0</v>
      </c>
      <c r="N57" s="50"/>
      <c r="O57" s="209">
        <f>O52*(1+$F$10)</f>
        <v>0</v>
      </c>
      <c r="P57" s="36">
        <f>P52*(1+$F$10)</f>
        <v>0</v>
      </c>
      <c r="Q57" s="15">
        <f>IF(ISBLANK(A57),"",IF(O57&gt;0,P57/O57,0))</f>
        <v>0</v>
      </c>
      <c r="R57" s="8"/>
    </row>
    <row r="58" spans="1:147" x14ac:dyDescent="0.3">
      <c r="I58" s="31"/>
    </row>
  </sheetData>
  <sheetProtection sheet="1" objects="1" scenarios="1" sort="0" autoFilter="0" pivotTables="0"/>
  <mergeCells count="1">
    <mergeCell ref="A25:B25"/>
  </mergeCells>
  <dataValidations count="12">
    <dataValidation type="decimal" allowBlank="1" showInputMessage="1" showErrorMessage="1" sqref="F15:F24">
      <formula1>0</formula1>
      <formula2>9</formula2>
    </dataValidation>
    <dataValidation type="list" allowBlank="1" showInputMessage="1" showErrorMessage="1" sqref="C15:C24">
      <formula1>"APAC, EU, NA, SELECT ONE, ERROR"</formula1>
    </dataValidation>
    <dataValidation type="list" allowBlank="1" showInputMessage="1" showErrorMessage="1" sqref="B9">
      <formula1>"Quote, Estimate, Select One"</formula1>
    </dataValidation>
    <dataValidation type="list" allowBlank="1" showInputMessage="1" showErrorMessage="1" sqref="B5">
      <formula1>"NSC, T&amp;M, Fixed Price, SELECT ONE"</formula1>
    </dataValidation>
    <dataValidation type="list" showInputMessage="1" showErrorMessage="1" sqref="B11">
      <formula1>"SELECT ONE, APAC, EU, NA"</formula1>
    </dataValidation>
    <dataValidation type="date" operator="greaterThanOrEqual" allowBlank="1" showInputMessage="1" showErrorMessage="1" sqref="D44:D45 D46:E48 D30:E35 D29 D15:D24">
      <formula1>38353</formula1>
    </dataValidation>
    <dataValidation type="whole" showInputMessage="1" showErrorMessage="1" sqref="B10:C10">
      <formula1>8</formula1>
      <formula2>9</formula2>
    </dataValidation>
    <dataValidation type="decimal" allowBlank="1" showInputMessage="1" showErrorMessage="1" sqref="F29:F35">
      <formula1>0</formula1>
      <formula2>5</formula2>
    </dataValidation>
    <dataValidation type="date" operator="greaterThan" allowBlank="1" showInputMessage="1" showErrorMessage="1" sqref="E44:E45 E29 E15:E24">
      <formula1>38353</formula1>
    </dataValidation>
    <dataValidation type="list" showInputMessage="1" showErrorMessage="1" sqref="C5">
      <formula1>"T&amp;M, Fixed Price, SELECT ONE"</formula1>
    </dataValidation>
    <dataValidation type="list" showInputMessage="1" showErrorMessage="1" sqref="C9">
      <formula1>"Quote, Estimate, SELECT ONE"</formula1>
    </dataValidation>
    <dataValidation type="decimal" allowBlank="1" showInputMessage="1" showErrorMessage="1" sqref="F44">
      <formula1>0</formula1>
      <formula2>1</formula2>
    </dataValidation>
  </dataValidations>
  <pageMargins left="0.75" right="0.75" top="1" bottom="1" header="0.5" footer="0.5"/>
  <pageSetup scale="57" fitToHeight="5" orientation="landscape"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gsrates!$A$60:$A$96</xm:f>
          </x14:formula1>
          <xm:sqref>A15:A24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FFC000"/>
    <pageSetUpPr fitToPage="1"/>
  </sheetPr>
  <dimension ref="A1:EQ57"/>
  <sheetViews>
    <sheetView workbookViewId="0">
      <pane xSplit="2" ySplit="13" topLeftCell="D14" activePane="bottomRight" state="frozen"/>
      <selection activeCell="A5" sqref="A5:B10"/>
      <selection pane="topRight" activeCell="A5" sqref="A5:B10"/>
      <selection pane="bottomLeft" activeCell="A5" sqref="A5:B10"/>
      <selection pane="bottomRight" activeCell="B6" sqref="B6"/>
    </sheetView>
  </sheetViews>
  <sheetFormatPr defaultColWidth="9.33203125" defaultRowHeight="13.8" outlineLevelRow="1" x14ac:dyDescent="0.3"/>
  <cols>
    <col min="1" max="1" width="30.33203125" style="2" customWidth="1"/>
    <col min="2" max="2" width="15.109375" style="2" bestFit="1" customWidth="1"/>
    <col min="3" max="3" width="15.109375" style="2" hidden="1" customWidth="1"/>
    <col min="4" max="4" width="10.44140625" style="2" customWidth="1"/>
    <col min="5" max="5" width="10.77734375" style="2" customWidth="1"/>
    <col min="6" max="6" width="13" style="2" bestFit="1" customWidth="1"/>
    <col min="7" max="7" width="11" style="2" bestFit="1" customWidth="1"/>
    <col min="8" max="8" width="11" style="116" customWidth="1"/>
    <col min="9" max="9" width="12.77734375" style="2" customWidth="1"/>
    <col min="10" max="10" width="15" style="2" bestFit="1" customWidth="1"/>
    <col min="11" max="11" width="12.33203125" style="203" customWidth="1"/>
    <col min="12" max="12" width="11.44140625" style="203" customWidth="1"/>
    <col min="13" max="13" width="11.44140625" style="2" customWidth="1"/>
    <col min="14" max="14" width="10.77734375" style="31" customWidth="1"/>
    <col min="15" max="15" width="14.109375" style="203" customWidth="1"/>
    <col min="16" max="16" width="11.44140625" style="2" customWidth="1"/>
    <col min="17" max="17" width="10" style="2" customWidth="1"/>
    <col min="18" max="18" width="11.109375" style="2" customWidth="1"/>
    <col min="19" max="19" width="9.33203125" style="2"/>
    <col min="20" max="20" width="9.33203125" style="41" hidden="1" customWidth="1"/>
    <col min="21" max="21" width="9.33203125" style="41"/>
    <col min="22" max="22" width="27.6640625" style="41" bestFit="1" customWidth="1"/>
    <col min="23" max="23" width="12.109375" style="41" customWidth="1"/>
    <col min="24" max="24" width="28.109375" style="41" hidden="1" customWidth="1"/>
    <col min="25" max="147" width="9.33203125" style="41"/>
    <col min="148" max="16384" width="9.33203125" style="2"/>
  </cols>
  <sheetData>
    <row r="1" spans="1:147" x14ac:dyDescent="0.3">
      <c r="A1" s="2" t="s">
        <v>0</v>
      </c>
      <c r="B1" s="139" t="str">
        <f>IF(ISBLANK(Summary!B1)," ",Summary!B1)</f>
        <v>&lt;Enter Account Name&gt;</v>
      </c>
      <c r="C1" s="141"/>
    </row>
    <row r="2" spans="1:147" x14ac:dyDescent="0.3">
      <c r="A2" s="2" t="s">
        <v>164</v>
      </c>
      <c r="B2" s="139" t="str">
        <f>IF(ISBLANK(Summary!B3)," ",Summary!B3)</f>
        <v>NEW ECR</v>
      </c>
      <c r="C2" s="141"/>
      <c r="V2" s="42"/>
      <c r="X2" s="41" t="s">
        <v>99</v>
      </c>
    </row>
    <row r="3" spans="1:147" x14ac:dyDescent="0.3">
      <c r="A3" s="2" t="s">
        <v>2</v>
      </c>
      <c r="B3" s="2" t="s">
        <v>19</v>
      </c>
      <c r="C3" s="127"/>
      <c r="G3" s="127"/>
      <c r="H3" s="223"/>
      <c r="I3" s="127"/>
      <c r="J3" s="127"/>
      <c r="V3" s="42"/>
      <c r="X3" s="41" t="s">
        <v>100</v>
      </c>
    </row>
    <row r="4" spans="1:147" x14ac:dyDescent="0.3">
      <c r="A4" s="2" t="s">
        <v>3</v>
      </c>
      <c r="B4" s="139" t="str">
        <f>IF(ISBLANK(Summary!B5)," ",Summary!B5)</f>
        <v>Fixed Price</v>
      </c>
      <c r="C4" s="142"/>
      <c r="V4" s="42"/>
      <c r="X4" s="41" t="s">
        <v>169</v>
      </c>
    </row>
    <row r="5" spans="1:147" x14ac:dyDescent="0.3">
      <c r="A5" s="2" t="s">
        <v>150</v>
      </c>
      <c r="B5" s="99" t="str">
        <f>IF(ISBLANK(Summary!B6),"ADD on SUMMARY tab",Summary!B6)</f>
        <v>NA</v>
      </c>
      <c r="C5" s="99"/>
      <c r="G5" s="125" t="str">
        <f>IF(AND(O51&gt;0,O53=0),"Enter Total Price in N43"," ")</f>
        <v xml:space="preserve"> </v>
      </c>
      <c r="V5" s="42"/>
      <c r="X5" s="41" t="s">
        <v>101</v>
      </c>
    </row>
    <row r="6" spans="1:147" x14ac:dyDescent="0.3">
      <c r="A6" s="2" t="s">
        <v>4</v>
      </c>
      <c r="B6" s="88"/>
      <c r="C6" s="143"/>
      <c r="D6" s="4" t="str">
        <f>IF(B6&gt;MIN(D14:D34),"Staffing Starts before this date!",IF(B6&lt;MIN(D14:D34),"No staffing on start date!",""))</f>
        <v/>
      </c>
      <c r="E6"/>
      <c r="F6"/>
      <c r="G6"/>
      <c r="H6" s="117"/>
      <c r="I6"/>
      <c r="J6"/>
      <c r="K6" s="204"/>
      <c r="L6" s="204"/>
      <c r="M6"/>
      <c r="N6" s="50"/>
      <c r="O6" s="204"/>
      <c r="V6" s="42"/>
      <c r="X6" s="41" t="s">
        <v>102</v>
      </c>
    </row>
    <row r="7" spans="1:147" x14ac:dyDescent="0.3">
      <c r="A7" s="2" t="s">
        <v>5</v>
      </c>
      <c r="B7" s="88">
        <f>MAX(E14:E23)</f>
        <v>0</v>
      </c>
      <c r="C7" s="143"/>
      <c r="D7" s="4" t="str">
        <f>IF(B7&gt;MAX(E14:E34),"Staffing ends before project end date!",IF(B7&lt;MAX(E14:E34),"Staffing continues after end date!",""))</f>
        <v/>
      </c>
      <c r="E7"/>
      <c r="F7"/>
      <c r="G7"/>
      <c r="H7" s="117"/>
      <c r="I7"/>
      <c r="J7"/>
      <c r="K7" s="204"/>
      <c r="L7" s="204"/>
      <c r="M7"/>
      <c r="N7" s="50"/>
      <c r="O7" s="204"/>
      <c r="V7" s="42"/>
      <c r="X7" s="41" t="s">
        <v>103</v>
      </c>
    </row>
    <row r="8" spans="1:147" x14ac:dyDescent="0.3">
      <c r="A8" s="2" t="s">
        <v>6</v>
      </c>
      <c r="B8" s="139" t="str">
        <f>IF(ISBLANK(Summary!B9)," ",Summary!B9)</f>
        <v>Quote</v>
      </c>
      <c r="C8" s="142"/>
      <c r="E8" s="2" t="s">
        <v>160</v>
      </c>
      <c r="F8" s="89">
        <v>0.05</v>
      </c>
      <c r="V8" s="42"/>
      <c r="X8" s="41" t="s">
        <v>151</v>
      </c>
    </row>
    <row r="9" spans="1:147" x14ac:dyDescent="0.3">
      <c r="A9" s="2" t="s">
        <v>84</v>
      </c>
      <c r="B9" s="126">
        <v>8</v>
      </c>
      <c r="C9" s="144"/>
      <c r="E9" s="2" t="s">
        <v>159</v>
      </c>
      <c r="F9" s="363">
        <v>0.2</v>
      </c>
      <c r="V9" s="42"/>
      <c r="X9" s="41" t="s">
        <v>170</v>
      </c>
    </row>
    <row r="10" spans="1:147" x14ac:dyDescent="0.3">
      <c r="A10" s="2" t="s">
        <v>72</v>
      </c>
      <c r="B10" s="154" t="str">
        <f>IF(ISBLANK(Summary!B14),"SELECT ONE",Summary!B14)</f>
        <v>USD</v>
      </c>
      <c r="X10" s="41" t="s">
        <v>104</v>
      </c>
    </row>
    <row r="11" spans="1:147" x14ac:dyDescent="0.3">
      <c r="X11" s="41" t="s">
        <v>105</v>
      </c>
    </row>
    <row r="12" spans="1:147" x14ac:dyDescent="0.3">
      <c r="A12" s="3"/>
      <c r="B12" s="3"/>
      <c r="C12" s="3"/>
      <c r="D12" s="5"/>
      <c r="E12" s="5"/>
      <c r="F12" s="5"/>
      <c r="G12" s="6"/>
      <c r="H12" s="118"/>
      <c r="I12" s="6"/>
      <c r="J12" s="6"/>
      <c r="K12" s="205"/>
      <c r="L12" s="205"/>
      <c r="M12" s="6"/>
      <c r="N12" s="34" t="s">
        <v>85</v>
      </c>
      <c r="O12" s="205"/>
      <c r="P12" s="6"/>
      <c r="Q12" s="6"/>
      <c r="R12" s="6"/>
      <c r="X12" s="41" t="s">
        <v>106</v>
      </c>
    </row>
    <row r="13" spans="1:147" s="3" customFormat="1" x14ac:dyDescent="0.3">
      <c r="A13" s="12" t="s">
        <v>54</v>
      </c>
      <c r="B13" s="12" t="s">
        <v>55</v>
      </c>
      <c r="C13" s="12" t="s">
        <v>96</v>
      </c>
      <c r="D13" s="13" t="s">
        <v>56</v>
      </c>
      <c r="E13" s="13" t="s">
        <v>57</v>
      </c>
      <c r="F13" s="13" t="s">
        <v>7</v>
      </c>
      <c r="G13" s="13" t="s">
        <v>20</v>
      </c>
      <c r="H13" s="119" t="s">
        <v>83</v>
      </c>
      <c r="I13" s="35" t="s">
        <v>10</v>
      </c>
      <c r="J13" s="13" t="s">
        <v>58</v>
      </c>
      <c r="K13" s="206" t="s">
        <v>59</v>
      </c>
      <c r="L13" s="217" t="s">
        <v>31</v>
      </c>
      <c r="M13" s="13" t="s">
        <v>21</v>
      </c>
      <c r="N13" s="35" t="s">
        <v>22</v>
      </c>
      <c r="O13" s="217" t="s">
        <v>60</v>
      </c>
      <c r="P13" s="13" t="s">
        <v>32</v>
      </c>
      <c r="Q13" s="13" t="s">
        <v>23</v>
      </c>
      <c r="R13" s="13" t="s">
        <v>24</v>
      </c>
      <c r="T13" s="43"/>
      <c r="U13" s="43"/>
      <c r="V13" s="43"/>
      <c r="W13" s="43"/>
      <c r="X13" s="41" t="s">
        <v>143</v>
      </c>
      <c r="Y13" s="43"/>
      <c r="Z13" s="43"/>
      <c r="AA13" s="43"/>
      <c r="AB13" s="43"/>
      <c r="AC13" s="43"/>
      <c r="AD13" s="43"/>
      <c r="AE13" s="43"/>
      <c r="AF13" s="43"/>
      <c r="AG13" s="43"/>
      <c r="AH13" s="43"/>
      <c r="AI13" s="43"/>
      <c r="AJ13" s="43"/>
      <c r="AK13" s="43"/>
      <c r="AL13" s="43"/>
      <c r="AM13" s="43"/>
      <c r="AN13" s="43"/>
      <c r="AO13" s="43"/>
      <c r="AP13" s="43"/>
      <c r="AQ13" s="43"/>
      <c r="AR13" s="43"/>
      <c r="AS13" s="43"/>
      <c r="AT13" s="43"/>
      <c r="AU13" s="43"/>
      <c r="AV13" s="43"/>
      <c r="AW13" s="43"/>
      <c r="AX13" s="43"/>
      <c r="AY13" s="43"/>
      <c r="AZ13" s="43"/>
      <c r="BA13" s="43"/>
      <c r="BB13" s="43"/>
      <c r="BC13" s="43"/>
      <c r="BD13" s="43"/>
      <c r="BE13" s="43"/>
      <c r="BF13" s="43"/>
      <c r="BG13" s="43"/>
      <c r="BH13" s="43"/>
      <c r="BI13" s="43"/>
      <c r="BJ13" s="43"/>
      <c r="BK13" s="43"/>
      <c r="BL13" s="43"/>
      <c r="BM13" s="43"/>
      <c r="BN13" s="43"/>
      <c r="BO13" s="43"/>
      <c r="BP13" s="43"/>
      <c r="BQ13" s="43"/>
      <c r="BR13" s="43"/>
      <c r="BS13" s="43"/>
      <c r="BT13" s="43"/>
      <c r="BU13" s="43"/>
      <c r="BV13" s="43"/>
      <c r="BW13" s="43"/>
      <c r="BX13" s="43"/>
      <c r="BY13" s="43"/>
      <c r="BZ13" s="43"/>
      <c r="CA13" s="43"/>
      <c r="CB13" s="43"/>
      <c r="CC13" s="43"/>
      <c r="CD13" s="43"/>
      <c r="CE13" s="43"/>
      <c r="CF13" s="43"/>
      <c r="CG13" s="43"/>
      <c r="CH13" s="43"/>
      <c r="CI13" s="43"/>
      <c r="CJ13" s="43"/>
      <c r="CK13" s="43"/>
      <c r="CL13" s="43"/>
      <c r="CM13" s="43"/>
      <c r="CN13" s="43"/>
      <c r="CO13" s="43"/>
      <c r="CP13" s="43"/>
      <c r="CQ13" s="43"/>
      <c r="CR13" s="43"/>
      <c r="CS13" s="43"/>
      <c r="CT13" s="43"/>
      <c r="CU13" s="43"/>
      <c r="CV13" s="43"/>
      <c r="CW13" s="43"/>
      <c r="CX13" s="43"/>
      <c r="CY13" s="43"/>
      <c r="CZ13" s="43"/>
      <c r="DA13" s="43"/>
      <c r="DB13" s="43"/>
      <c r="DC13" s="43"/>
      <c r="DD13" s="43"/>
      <c r="DE13" s="43"/>
      <c r="DF13" s="43"/>
      <c r="DG13" s="43"/>
      <c r="DH13" s="43"/>
      <c r="DI13" s="43"/>
      <c r="DJ13" s="43"/>
      <c r="DK13" s="43"/>
      <c r="DL13" s="43"/>
      <c r="DM13" s="43"/>
      <c r="DN13" s="43"/>
      <c r="DO13" s="43"/>
      <c r="DP13" s="43"/>
      <c r="DQ13" s="43"/>
      <c r="DR13" s="43"/>
      <c r="DS13" s="43"/>
      <c r="DT13" s="43"/>
      <c r="DU13" s="43"/>
      <c r="DV13" s="43"/>
      <c r="DW13" s="43"/>
      <c r="DX13" s="43"/>
      <c r="DY13" s="43"/>
      <c r="DZ13" s="43"/>
      <c r="EA13" s="43"/>
      <c r="EB13" s="43"/>
      <c r="EC13" s="43"/>
      <c r="ED13" s="43"/>
      <c r="EE13" s="43"/>
      <c r="EF13" s="43"/>
      <c r="EG13" s="43"/>
      <c r="EH13" s="43"/>
      <c r="EI13" s="43"/>
      <c r="EJ13" s="43"/>
      <c r="EK13" s="43"/>
      <c r="EL13" s="43"/>
      <c r="EM13" s="43"/>
      <c r="EN13" s="43"/>
      <c r="EO13" s="43"/>
      <c r="EP13" s="43"/>
      <c r="EQ13" s="43"/>
    </row>
    <row r="14" spans="1:147" outlineLevel="1" x14ac:dyDescent="0.3">
      <c r="A14" s="160"/>
      <c r="B14" s="160"/>
      <c r="C14" s="87"/>
      <c r="D14" s="161"/>
      <c r="E14" s="161"/>
      <c r="F14" s="162"/>
      <c r="G14" s="163" t="str">
        <f t="shared" ref="G14:G23" si="0">IF(ISBLANK(A14),"",NETWORKDAYS(D14,E14)*F14)</f>
        <v/>
      </c>
      <c r="H14" s="164" t="str">
        <f t="shared" ref="H14:H23" si="1">IF(ISBLANK(A14),"",G14*$B$9)</f>
        <v/>
      </c>
      <c r="I14" s="176" t="str">
        <f>IF(ISBLANK(A14),"",VLOOKUP(A14,gsrates!$A$3:$AK$38,VLOOKUP($B$5,gsrates!$A$41:$C$58,2,FALSE),FALSE))</f>
        <v/>
      </c>
      <c r="J14" s="80" t="str">
        <f t="shared" ref="J14:J23" si="2">IF(ISBLANK(A14),"",H14*I14)</f>
        <v/>
      </c>
      <c r="K14" s="207" t="str">
        <f>IF(ISBLANK(A14),"",VLOOKUP(A14,gsrates!$A$3:$AK$38,VLOOKUP($B$5,gsrates!$A$41:$C$58,3,FALSE),FALSE))</f>
        <v/>
      </c>
      <c r="L14" s="207" t="str">
        <f t="shared" ref="L14:L23" si="3">IF(ISBLANK(A14),"",K14*G14*8)</f>
        <v/>
      </c>
      <c r="M14" s="80" t="str">
        <f t="shared" ref="M14:M23" si="4">IF(ISBLANK(A14),"",J14-L14)</f>
        <v/>
      </c>
      <c r="N14" s="177">
        <v>0</v>
      </c>
      <c r="O14" s="207" t="str">
        <f t="shared" ref="O14:O23" si="5">IF(ISBLANK(A14),"",G14*N14*$B$9)</f>
        <v/>
      </c>
      <c r="P14" s="80" t="str">
        <f t="shared" ref="P14:P23" si="6">IF(ISBLANK(A14),"",O14-L14)</f>
        <v/>
      </c>
      <c r="Q14" s="155" t="str">
        <f t="shared" ref="Q14:Q23" si="7">IF(ISBLANK(A14),"",P14/O14)</f>
        <v/>
      </c>
      <c r="R14" s="166" t="str">
        <f t="shared" ref="R14:R23" si="8">IF(ISBLANK(A14),"",1-O14/J14)</f>
        <v/>
      </c>
      <c r="S14" s="373" t="str">
        <f>IF(ISBLANK(A14),"",VLOOKUP(A14,gsrates!$A$3:$AL$38,38,FALSE))</f>
        <v/>
      </c>
      <c r="T14" s="41" t="str">
        <f t="shared" ref="T14:T23" si="9">IF(ISBLANK(A14),"",CONCATENATE(C14,"-",$B$5))</f>
        <v/>
      </c>
      <c r="U14" s="388">
        <f>IF(S14=1,H14,0)</f>
        <v>0</v>
      </c>
      <c r="X14" s="41" t="s">
        <v>162</v>
      </c>
    </row>
    <row r="15" spans="1:147" outlineLevel="1" x14ac:dyDescent="0.3">
      <c r="A15" s="160"/>
      <c r="B15" s="160"/>
      <c r="C15" s="87"/>
      <c r="D15" s="161"/>
      <c r="E15" s="161"/>
      <c r="F15" s="162"/>
      <c r="G15" s="163" t="str">
        <f t="shared" si="0"/>
        <v/>
      </c>
      <c r="H15" s="164" t="str">
        <f t="shared" si="1"/>
        <v/>
      </c>
      <c r="I15" s="176" t="str">
        <f>IF(ISBLANK(A15),"",VLOOKUP(A15,gsrates!$A$3:$AK$38,VLOOKUP($B$5,gsrates!$A$41:$C$58,2,FALSE),FALSE))</f>
        <v/>
      </c>
      <c r="J15" s="80" t="str">
        <f t="shared" si="2"/>
        <v/>
      </c>
      <c r="K15" s="207" t="str">
        <f>IF(ISBLANK(A15),"",VLOOKUP(A15,gsrates!$A$3:$AK$38,VLOOKUP($B$5,gsrates!$A$41:$C$58,3,FALSE),FALSE))</f>
        <v/>
      </c>
      <c r="L15" s="207" t="str">
        <f t="shared" si="3"/>
        <v/>
      </c>
      <c r="M15" s="80" t="str">
        <f t="shared" si="4"/>
        <v/>
      </c>
      <c r="N15" s="177">
        <v>0</v>
      </c>
      <c r="O15" s="207" t="str">
        <f t="shared" si="5"/>
        <v/>
      </c>
      <c r="P15" s="80" t="str">
        <f t="shared" si="6"/>
        <v/>
      </c>
      <c r="Q15" s="155" t="str">
        <f t="shared" si="7"/>
        <v/>
      </c>
      <c r="R15" s="166" t="str">
        <f t="shared" si="8"/>
        <v/>
      </c>
      <c r="S15" s="373" t="str">
        <f>IF(ISBLANK(A15),"",VLOOKUP(A15,gsrates!$A$3:$AL$38,38,FALSE))</f>
        <v/>
      </c>
      <c r="T15" s="41" t="str">
        <f t="shared" si="9"/>
        <v/>
      </c>
      <c r="U15" s="388">
        <f t="shared" ref="U15:U23" si="10">IF(S15=1,H15,0)</f>
        <v>0</v>
      </c>
    </row>
    <row r="16" spans="1:147" outlineLevel="1" x14ac:dyDescent="0.3">
      <c r="A16" s="160"/>
      <c r="B16" s="160"/>
      <c r="C16" s="87"/>
      <c r="D16" s="161"/>
      <c r="E16" s="161"/>
      <c r="F16" s="162"/>
      <c r="G16" s="163" t="str">
        <f t="shared" si="0"/>
        <v/>
      </c>
      <c r="H16" s="164" t="str">
        <f t="shared" si="1"/>
        <v/>
      </c>
      <c r="I16" s="176" t="str">
        <f>IF(ISBLANK(A16),"",VLOOKUP(A16,gsrates!$A$3:$AK$38,VLOOKUP($B$5,gsrates!$A$41:$C$58,2,FALSE),FALSE))</f>
        <v/>
      </c>
      <c r="J16" s="80" t="str">
        <f t="shared" si="2"/>
        <v/>
      </c>
      <c r="K16" s="207" t="str">
        <f>IF(ISBLANK(A16),"",VLOOKUP(A16,gsrates!$A$3:$AK$38,VLOOKUP($B$5,gsrates!$A$41:$C$58,3,FALSE),FALSE))</f>
        <v/>
      </c>
      <c r="L16" s="207" t="str">
        <f t="shared" si="3"/>
        <v/>
      </c>
      <c r="M16" s="80" t="str">
        <f t="shared" si="4"/>
        <v/>
      </c>
      <c r="N16" s="177">
        <v>0</v>
      </c>
      <c r="O16" s="207" t="str">
        <f t="shared" si="5"/>
        <v/>
      </c>
      <c r="P16" s="80" t="str">
        <f t="shared" si="6"/>
        <v/>
      </c>
      <c r="Q16" s="155" t="str">
        <f t="shared" si="7"/>
        <v/>
      </c>
      <c r="R16" s="166" t="str">
        <f t="shared" si="8"/>
        <v/>
      </c>
      <c r="S16" s="373" t="str">
        <f>IF(ISBLANK(A16),"",VLOOKUP(A16,gsrates!$A$3:$AL$38,38,FALSE))</f>
        <v/>
      </c>
      <c r="T16" s="41" t="str">
        <f t="shared" si="9"/>
        <v/>
      </c>
      <c r="U16" s="388">
        <f t="shared" si="10"/>
        <v>0</v>
      </c>
    </row>
    <row r="17" spans="1:147" outlineLevel="1" x14ac:dyDescent="0.3">
      <c r="A17" s="160"/>
      <c r="B17" s="160"/>
      <c r="C17" s="87"/>
      <c r="D17" s="161"/>
      <c r="E17" s="161"/>
      <c r="F17" s="162"/>
      <c r="G17" s="163" t="str">
        <f t="shared" si="0"/>
        <v/>
      </c>
      <c r="H17" s="164" t="str">
        <f t="shared" si="1"/>
        <v/>
      </c>
      <c r="I17" s="176" t="str">
        <f>IF(ISBLANK(A17),"",VLOOKUP(A17,gsrates!$A$3:$AK$38,VLOOKUP($B$5,gsrates!$A$41:$C$58,2,FALSE),FALSE))</f>
        <v/>
      </c>
      <c r="J17" s="80" t="str">
        <f t="shared" si="2"/>
        <v/>
      </c>
      <c r="K17" s="207" t="str">
        <f>IF(ISBLANK(A17),"",VLOOKUP(A17,gsrates!$A$3:$AK$38,VLOOKUP($B$5,gsrates!$A$41:$C$58,3,FALSE),FALSE))</f>
        <v/>
      </c>
      <c r="L17" s="207" t="str">
        <f t="shared" si="3"/>
        <v/>
      </c>
      <c r="M17" s="80" t="str">
        <f t="shared" si="4"/>
        <v/>
      </c>
      <c r="N17" s="177">
        <v>0</v>
      </c>
      <c r="O17" s="207" t="str">
        <f t="shared" si="5"/>
        <v/>
      </c>
      <c r="P17" s="80" t="str">
        <f t="shared" si="6"/>
        <v/>
      </c>
      <c r="Q17" s="155" t="str">
        <f t="shared" si="7"/>
        <v/>
      </c>
      <c r="R17" s="166" t="str">
        <f t="shared" si="8"/>
        <v/>
      </c>
      <c r="S17" s="373" t="str">
        <f>IF(ISBLANK(A17),"",VLOOKUP(A17,gsrates!$A$3:$AL$38,38,FALSE))</f>
        <v/>
      </c>
      <c r="T17" s="41" t="str">
        <f t="shared" si="9"/>
        <v/>
      </c>
      <c r="U17" s="388">
        <f t="shared" si="10"/>
        <v>0</v>
      </c>
    </row>
    <row r="18" spans="1:147" outlineLevel="1" x14ac:dyDescent="0.3">
      <c r="A18" s="160"/>
      <c r="B18" s="160"/>
      <c r="C18" s="87"/>
      <c r="D18" s="161"/>
      <c r="E18" s="161"/>
      <c r="F18" s="162"/>
      <c r="G18" s="163" t="str">
        <f t="shared" si="0"/>
        <v/>
      </c>
      <c r="H18" s="164" t="str">
        <f t="shared" si="1"/>
        <v/>
      </c>
      <c r="I18" s="176" t="str">
        <f>IF(ISBLANK(A18),"",VLOOKUP(A18,gsrates!$A$3:$AK$38,VLOOKUP($B$5,gsrates!$A$41:$C$58,2,FALSE),FALSE))</f>
        <v/>
      </c>
      <c r="J18" s="80" t="str">
        <f t="shared" si="2"/>
        <v/>
      </c>
      <c r="K18" s="207" t="str">
        <f>IF(ISBLANK(A18),"",VLOOKUP(A18,gsrates!$A$3:$AK$38,VLOOKUP($B$5,gsrates!$A$41:$C$58,3,FALSE),FALSE))</f>
        <v/>
      </c>
      <c r="L18" s="207" t="str">
        <f t="shared" si="3"/>
        <v/>
      </c>
      <c r="M18" s="80" t="str">
        <f t="shared" si="4"/>
        <v/>
      </c>
      <c r="N18" s="177">
        <v>0</v>
      </c>
      <c r="O18" s="207" t="str">
        <f t="shared" si="5"/>
        <v/>
      </c>
      <c r="P18" s="80" t="str">
        <f t="shared" si="6"/>
        <v/>
      </c>
      <c r="Q18" s="155" t="str">
        <f t="shared" si="7"/>
        <v/>
      </c>
      <c r="R18" s="166" t="str">
        <f t="shared" si="8"/>
        <v/>
      </c>
      <c r="S18" s="373" t="str">
        <f>IF(ISBLANK(A18),"",VLOOKUP(A18,gsrates!$A$3:$AL$38,38,FALSE))</f>
        <v/>
      </c>
      <c r="T18" s="41" t="str">
        <f t="shared" si="9"/>
        <v/>
      </c>
      <c r="U18" s="388">
        <f t="shared" si="10"/>
        <v>0</v>
      </c>
    </row>
    <row r="19" spans="1:147" outlineLevel="1" x14ac:dyDescent="0.3">
      <c r="A19" s="160"/>
      <c r="B19" s="160"/>
      <c r="C19" s="87"/>
      <c r="D19" s="161"/>
      <c r="E19" s="161"/>
      <c r="F19" s="162"/>
      <c r="G19" s="163" t="str">
        <f t="shared" si="0"/>
        <v/>
      </c>
      <c r="H19" s="164" t="str">
        <f t="shared" si="1"/>
        <v/>
      </c>
      <c r="I19" s="176" t="str">
        <f>IF(ISBLANK(A19),"",VLOOKUP(A19,gsrates!$A$3:$AK$38,VLOOKUP($B$5,gsrates!$A$41:$C$58,2,FALSE),FALSE))</f>
        <v/>
      </c>
      <c r="J19" s="80" t="str">
        <f t="shared" si="2"/>
        <v/>
      </c>
      <c r="K19" s="207" t="str">
        <f>IF(ISBLANK(A19),"",VLOOKUP(A19,gsrates!$A$3:$AK$38,VLOOKUP($B$5,gsrates!$A$41:$C$58,3,FALSE),FALSE))</f>
        <v/>
      </c>
      <c r="L19" s="207" t="str">
        <f t="shared" si="3"/>
        <v/>
      </c>
      <c r="M19" s="80" t="str">
        <f t="shared" si="4"/>
        <v/>
      </c>
      <c r="N19" s="177">
        <v>0</v>
      </c>
      <c r="O19" s="207" t="str">
        <f t="shared" si="5"/>
        <v/>
      </c>
      <c r="P19" s="80" t="str">
        <f t="shared" si="6"/>
        <v/>
      </c>
      <c r="Q19" s="155" t="str">
        <f t="shared" si="7"/>
        <v/>
      </c>
      <c r="R19" s="166" t="str">
        <f t="shared" si="8"/>
        <v/>
      </c>
      <c r="S19" s="373" t="str">
        <f>IF(ISBLANK(A19),"",VLOOKUP(A19,gsrates!$A$3:$AL$38,38,FALSE))</f>
        <v/>
      </c>
      <c r="T19" s="41" t="str">
        <f t="shared" si="9"/>
        <v/>
      </c>
      <c r="U19" s="388">
        <f t="shared" si="10"/>
        <v>0</v>
      </c>
    </row>
    <row r="20" spans="1:147" outlineLevel="1" x14ac:dyDescent="0.3">
      <c r="A20" s="160"/>
      <c r="B20" s="160"/>
      <c r="C20" s="87"/>
      <c r="D20" s="161"/>
      <c r="E20" s="161"/>
      <c r="F20" s="162"/>
      <c r="G20" s="163" t="str">
        <f t="shared" si="0"/>
        <v/>
      </c>
      <c r="H20" s="164" t="str">
        <f t="shared" si="1"/>
        <v/>
      </c>
      <c r="I20" s="176" t="str">
        <f>IF(ISBLANK(A20),"",VLOOKUP(A20,gsrates!$A$3:$AK$38,VLOOKUP($B$5,gsrates!$A$41:$C$58,2,FALSE),FALSE))</f>
        <v/>
      </c>
      <c r="J20" s="80" t="str">
        <f t="shared" si="2"/>
        <v/>
      </c>
      <c r="K20" s="207" t="str">
        <f>IF(ISBLANK(A20),"",VLOOKUP(A20,gsrates!$A$3:$AK$38,VLOOKUP($B$5,gsrates!$A$41:$C$58,3,FALSE),FALSE))</f>
        <v/>
      </c>
      <c r="L20" s="207" t="str">
        <f t="shared" si="3"/>
        <v/>
      </c>
      <c r="M20" s="80" t="str">
        <f t="shared" si="4"/>
        <v/>
      </c>
      <c r="N20" s="177">
        <v>0</v>
      </c>
      <c r="O20" s="207" t="str">
        <f t="shared" si="5"/>
        <v/>
      </c>
      <c r="P20" s="80" t="str">
        <f t="shared" si="6"/>
        <v/>
      </c>
      <c r="Q20" s="155" t="str">
        <f t="shared" si="7"/>
        <v/>
      </c>
      <c r="R20" s="166" t="str">
        <f t="shared" si="8"/>
        <v/>
      </c>
      <c r="S20" s="373" t="str">
        <f>IF(ISBLANK(A20),"",VLOOKUP(A20,gsrates!$A$3:$AL$38,38,FALSE))</f>
        <v/>
      </c>
      <c r="T20" s="41" t="str">
        <f t="shared" si="9"/>
        <v/>
      </c>
      <c r="U20" s="388">
        <f t="shared" si="10"/>
        <v>0</v>
      </c>
    </row>
    <row r="21" spans="1:147" outlineLevel="1" x14ac:dyDescent="0.3">
      <c r="A21" s="160"/>
      <c r="B21" s="160"/>
      <c r="C21" s="87"/>
      <c r="D21" s="161"/>
      <c r="E21" s="161"/>
      <c r="F21" s="162"/>
      <c r="G21" s="163" t="str">
        <f t="shared" si="0"/>
        <v/>
      </c>
      <c r="H21" s="164" t="str">
        <f t="shared" si="1"/>
        <v/>
      </c>
      <c r="I21" s="176" t="str">
        <f>IF(ISBLANK(A21),"",VLOOKUP(A21,gsrates!$A$3:$AK$38,VLOOKUP($B$5,gsrates!$A$41:$C$58,2,FALSE),FALSE))</f>
        <v/>
      </c>
      <c r="J21" s="80" t="str">
        <f t="shared" si="2"/>
        <v/>
      </c>
      <c r="K21" s="207" t="str">
        <f>IF(ISBLANK(A21),"",VLOOKUP(A21,gsrates!$A$3:$AK$38,VLOOKUP($B$5,gsrates!$A$41:$C$58,3,FALSE),FALSE))</f>
        <v/>
      </c>
      <c r="L21" s="207" t="str">
        <f t="shared" si="3"/>
        <v/>
      </c>
      <c r="M21" s="80" t="str">
        <f t="shared" si="4"/>
        <v/>
      </c>
      <c r="N21" s="177">
        <v>0</v>
      </c>
      <c r="O21" s="207" t="str">
        <f t="shared" si="5"/>
        <v/>
      </c>
      <c r="P21" s="80" t="str">
        <f t="shared" si="6"/>
        <v/>
      </c>
      <c r="Q21" s="155" t="str">
        <f t="shared" si="7"/>
        <v/>
      </c>
      <c r="R21" s="166" t="str">
        <f t="shared" si="8"/>
        <v/>
      </c>
      <c r="S21" s="373" t="str">
        <f>IF(ISBLANK(A21),"",VLOOKUP(A21,gsrates!$A$3:$AL$38,38,FALSE))</f>
        <v/>
      </c>
      <c r="T21" s="41" t="str">
        <f t="shared" si="9"/>
        <v/>
      </c>
      <c r="U21" s="388">
        <f t="shared" si="10"/>
        <v>0</v>
      </c>
    </row>
    <row r="22" spans="1:147" outlineLevel="1" x14ac:dyDescent="0.3">
      <c r="A22" s="160"/>
      <c r="B22" s="160"/>
      <c r="C22" s="87"/>
      <c r="D22" s="161"/>
      <c r="E22" s="161"/>
      <c r="F22" s="162"/>
      <c r="G22" s="163" t="str">
        <f t="shared" si="0"/>
        <v/>
      </c>
      <c r="H22" s="164" t="str">
        <f t="shared" si="1"/>
        <v/>
      </c>
      <c r="I22" s="176" t="str">
        <f>IF(ISBLANK(A22),"",VLOOKUP(A22,gsrates!$A$3:$AK$38,VLOOKUP($B$5,gsrates!$A$41:$C$58,2,FALSE),FALSE))</f>
        <v/>
      </c>
      <c r="J22" s="80" t="str">
        <f t="shared" si="2"/>
        <v/>
      </c>
      <c r="K22" s="207" t="str">
        <f>IF(ISBLANK(A22),"",VLOOKUP(A22,gsrates!$A$3:$AK$38,VLOOKUP($B$5,gsrates!$A$41:$C$58,3,FALSE),FALSE))</f>
        <v/>
      </c>
      <c r="L22" s="207" t="str">
        <f t="shared" si="3"/>
        <v/>
      </c>
      <c r="M22" s="80" t="str">
        <f t="shared" si="4"/>
        <v/>
      </c>
      <c r="N22" s="177">
        <v>0</v>
      </c>
      <c r="O22" s="207" t="str">
        <f t="shared" si="5"/>
        <v/>
      </c>
      <c r="P22" s="80" t="str">
        <f t="shared" si="6"/>
        <v/>
      </c>
      <c r="Q22" s="155" t="str">
        <f t="shared" si="7"/>
        <v/>
      </c>
      <c r="R22" s="166" t="str">
        <f t="shared" si="8"/>
        <v/>
      </c>
      <c r="S22" s="373" t="str">
        <f>IF(ISBLANK(A22),"",VLOOKUP(A22,gsrates!$A$3:$AL$38,38,FALSE))</f>
        <v/>
      </c>
      <c r="T22" s="41" t="str">
        <f t="shared" si="9"/>
        <v/>
      </c>
      <c r="U22" s="388">
        <f t="shared" si="10"/>
        <v>0</v>
      </c>
    </row>
    <row r="23" spans="1:147" s="11" customFormat="1" ht="14.4" outlineLevel="1" thickBot="1" x14ac:dyDescent="0.35">
      <c r="A23" s="167"/>
      <c r="B23" s="167"/>
      <c r="C23" s="167"/>
      <c r="D23" s="168"/>
      <c r="E23" s="168"/>
      <c r="F23" s="169"/>
      <c r="G23" s="170" t="str">
        <f t="shared" si="0"/>
        <v/>
      </c>
      <c r="H23" s="171" t="str">
        <f t="shared" si="1"/>
        <v/>
      </c>
      <c r="I23" s="178" t="str">
        <f>IF(ISBLANK(A23),"",VLOOKUP(A23,gsrates!$A$3:$AK$38,VLOOKUP($B$5,gsrates!$A$41:$C$58,2,FALSE),FALSE))</f>
        <v/>
      </c>
      <c r="J23" s="82" t="str">
        <f t="shared" si="2"/>
        <v/>
      </c>
      <c r="K23" s="208" t="str">
        <f>IF(ISBLANK(A23),"",VLOOKUP(A23,gsrates!$A$3:$AK$38,VLOOKUP($B$5,gsrates!$A$41:$C$58,3,FALSE),FALSE))</f>
        <v/>
      </c>
      <c r="L23" s="208" t="str">
        <f t="shared" si="3"/>
        <v/>
      </c>
      <c r="M23" s="82" t="str">
        <f t="shared" si="4"/>
        <v/>
      </c>
      <c r="N23" s="175">
        <v>0</v>
      </c>
      <c r="O23" s="208" t="str">
        <f t="shared" si="5"/>
        <v/>
      </c>
      <c r="P23" s="82" t="str">
        <f t="shared" si="6"/>
        <v/>
      </c>
      <c r="Q23" s="158" t="str">
        <f t="shared" si="7"/>
        <v/>
      </c>
      <c r="R23" s="173" t="str">
        <f t="shared" si="8"/>
        <v/>
      </c>
      <c r="S23" s="373" t="str">
        <f>IF(ISBLANK(A23),"",VLOOKUP(A23,gsrates!$A$3:$AL$38,38,FALSE))</f>
        <v/>
      </c>
      <c r="T23" s="41" t="str">
        <f t="shared" si="9"/>
        <v/>
      </c>
      <c r="U23" s="388">
        <f t="shared" si="10"/>
        <v>0</v>
      </c>
      <c r="V23" s="41"/>
      <c r="W23" s="41"/>
      <c r="X23" s="41"/>
      <c r="Y23" s="41"/>
      <c r="Z23" s="41"/>
      <c r="AA23" s="41"/>
      <c r="AB23" s="41"/>
      <c r="AC23" s="41"/>
      <c r="AD23" s="41"/>
      <c r="AE23" s="41"/>
      <c r="AF23" s="41"/>
      <c r="AG23" s="41"/>
      <c r="AH23" s="41"/>
      <c r="AI23" s="41"/>
      <c r="AJ23" s="41"/>
      <c r="AK23" s="41"/>
      <c r="AL23" s="41"/>
      <c r="AM23" s="41"/>
      <c r="AN23" s="41"/>
      <c r="AO23" s="41"/>
      <c r="AP23" s="41"/>
      <c r="AQ23" s="41"/>
      <c r="AR23" s="41"/>
      <c r="AS23" s="41"/>
      <c r="AT23" s="41"/>
      <c r="AU23" s="41"/>
      <c r="AV23" s="41"/>
      <c r="AW23" s="41"/>
      <c r="AX23" s="41"/>
      <c r="AY23" s="41"/>
      <c r="AZ23" s="41"/>
      <c r="BA23" s="41"/>
      <c r="BB23" s="41"/>
      <c r="BC23" s="41"/>
      <c r="BD23" s="41"/>
      <c r="BE23" s="41"/>
      <c r="BF23" s="41"/>
      <c r="BG23" s="41"/>
      <c r="BH23" s="41"/>
      <c r="BI23" s="41"/>
      <c r="BJ23" s="41"/>
      <c r="BK23" s="41"/>
      <c r="BL23" s="41"/>
      <c r="BM23" s="41"/>
      <c r="BN23" s="41"/>
      <c r="BO23" s="41"/>
      <c r="BP23" s="41"/>
      <c r="BQ23" s="41"/>
      <c r="BR23" s="41"/>
      <c r="BS23" s="41"/>
      <c r="BT23" s="41"/>
      <c r="BU23" s="41"/>
      <c r="BV23" s="41"/>
      <c r="BW23" s="41"/>
      <c r="BX23" s="41"/>
      <c r="BY23" s="41"/>
      <c r="BZ23" s="41"/>
      <c r="CA23" s="41"/>
      <c r="CB23" s="41"/>
      <c r="CC23" s="41"/>
      <c r="CD23" s="41"/>
      <c r="CE23" s="41"/>
      <c r="CF23" s="41"/>
      <c r="CG23" s="41"/>
      <c r="CH23" s="41"/>
      <c r="CI23" s="41"/>
      <c r="CJ23" s="41"/>
      <c r="CK23" s="41"/>
      <c r="CL23" s="41"/>
      <c r="CM23" s="41"/>
      <c r="CN23" s="41"/>
      <c r="CO23" s="41"/>
      <c r="CP23" s="41"/>
      <c r="CQ23" s="41"/>
      <c r="CR23" s="41"/>
      <c r="CS23" s="41"/>
      <c r="CT23" s="41"/>
      <c r="CU23" s="41"/>
      <c r="CV23" s="41"/>
      <c r="CW23" s="41"/>
      <c r="CX23" s="41"/>
      <c r="CY23" s="41"/>
      <c r="CZ23" s="41"/>
      <c r="DA23" s="41"/>
      <c r="DB23" s="41"/>
      <c r="DC23" s="41"/>
      <c r="DD23" s="41"/>
      <c r="DE23" s="41"/>
      <c r="DF23" s="41"/>
      <c r="DG23" s="41"/>
      <c r="DH23" s="41"/>
      <c r="DI23" s="41"/>
      <c r="DJ23" s="41"/>
      <c r="DK23" s="41"/>
      <c r="DL23" s="41"/>
      <c r="DM23" s="41"/>
      <c r="DN23" s="41"/>
      <c r="DO23" s="41"/>
      <c r="DP23" s="41"/>
      <c r="DQ23" s="41"/>
      <c r="DR23" s="41"/>
      <c r="DS23" s="41"/>
      <c r="DT23" s="41"/>
      <c r="DU23" s="41"/>
      <c r="DV23" s="41"/>
      <c r="DW23" s="41"/>
      <c r="DX23" s="41"/>
      <c r="DY23" s="41"/>
      <c r="DZ23" s="41"/>
      <c r="EA23" s="41"/>
      <c r="EB23" s="41"/>
      <c r="EC23" s="41"/>
      <c r="ED23" s="41"/>
      <c r="EE23" s="41"/>
      <c r="EF23" s="41"/>
      <c r="EG23" s="41"/>
      <c r="EH23" s="41"/>
      <c r="EI23" s="41"/>
      <c r="EJ23" s="41"/>
      <c r="EK23" s="41"/>
      <c r="EL23" s="41"/>
      <c r="EM23" s="41"/>
      <c r="EN23" s="41"/>
      <c r="EO23" s="41"/>
      <c r="EP23" s="41"/>
      <c r="EQ23" s="41"/>
    </row>
    <row r="24" spans="1:147" x14ac:dyDescent="0.3">
      <c r="A24" s="393" t="s">
        <v>11</v>
      </c>
      <c r="B24" s="393"/>
      <c r="C24" s="43"/>
      <c r="D24" s="7"/>
      <c r="E24" s="7"/>
      <c r="F24" s="8"/>
      <c r="G24" s="9">
        <f>SUM(G14:G23)</f>
        <v>0</v>
      </c>
      <c r="H24" s="9">
        <f>SUM(H14:H23)</f>
        <v>0</v>
      </c>
      <c r="I24" s="31"/>
      <c r="J24" s="36">
        <f>SUM(J14:J23)</f>
        <v>0</v>
      </c>
      <c r="K24" s="209"/>
      <c r="L24" s="209">
        <f>SUM(L14:L23)</f>
        <v>0</v>
      </c>
      <c r="M24" s="36">
        <f>SUM(M14:M23)</f>
        <v>0</v>
      </c>
      <c r="N24" s="33"/>
      <c r="O24" s="209">
        <f>SUM(O14:O23)</f>
        <v>0</v>
      </c>
      <c r="P24" s="36">
        <f>SUM(P14:P23)</f>
        <v>0</v>
      </c>
      <c r="Q24" s="15" t="str">
        <f>IF(G24=0,"",P24/O24)</f>
        <v/>
      </c>
      <c r="R24" s="8" t="str">
        <f>IF(G24=0,"",1-O24/J24)</f>
        <v/>
      </c>
      <c r="S24" s="374">
        <f>SUM(S14:S23)</f>
        <v>0</v>
      </c>
      <c r="U24" s="374">
        <f>SUM(U14:U23)</f>
        <v>0</v>
      </c>
    </row>
    <row r="25" spans="1:147" x14ac:dyDescent="0.3">
      <c r="D25" s="7"/>
      <c r="E25" s="7"/>
      <c r="F25" s="8"/>
      <c r="G25" s="9"/>
      <c r="H25" s="9"/>
      <c r="I25" s="31"/>
      <c r="J25" s="36"/>
      <c r="K25" s="209"/>
      <c r="L25" s="209"/>
      <c r="M25" s="36"/>
      <c r="N25" s="33"/>
      <c r="O25" s="209"/>
      <c r="P25" s="36"/>
      <c r="Q25" s="10"/>
      <c r="R25" s="8"/>
    </row>
    <row r="26" spans="1:147" outlineLevel="1" x14ac:dyDescent="0.3">
      <c r="B26" s="3"/>
      <c r="C26" s="3"/>
      <c r="D26" s="5"/>
      <c r="E26" s="5"/>
      <c r="F26" s="5"/>
      <c r="G26" s="6"/>
      <c r="H26" s="118"/>
      <c r="I26" s="34"/>
      <c r="J26" s="38"/>
      <c r="K26" s="210"/>
      <c r="L26" s="210"/>
      <c r="M26" s="38"/>
      <c r="N26" s="34"/>
      <c r="O26" s="210"/>
      <c r="P26" s="38"/>
      <c r="Q26" s="6"/>
      <c r="R26" s="6"/>
    </row>
    <row r="27" spans="1:147" outlineLevel="1" x14ac:dyDescent="0.3">
      <c r="A27" s="12" t="s">
        <v>12</v>
      </c>
      <c r="B27" s="12" t="s">
        <v>55</v>
      </c>
      <c r="C27" s="12"/>
      <c r="D27" s="13" t="s">
        <v>56</v>
      </c>
      <c r="E27" s="13" t="s">
        <v>57</v>
      </c>
      <c r="F27" s="13" t="s">
        <v>7</v>
      </c>
      <c r="G27" s="13" t="s">
        <v>20</v>
      </c>
      <c r="H27" s="119" t="s">
        <v>83</v>
      </c>
      <c r="I27" s="40" t="s">
        <v>10</v>
      </c>
      <c r="J27" s="13" t="s">
        <v>58</v>
      </c>
      <c r="K27" s="206" t="s">
        <v>59</v>
      </c>
      <c r="L27" s="218" t="s">
        <v>31</v>
      </c>
      <c r="M27" s="39" t="s">
        <v>21</v>
      </c>
      <c r="N27" s="35" t="s">
        <v>22</v>
      </c>
      <c r="O27" s="218" t="s">
        <v>60</v>
      </c>
      <c r="P27" s="13" t="s">
        <v>32</v>
      </c>
      <c r="Q27" s="13" t="s">
        <v>23</v>
      </c>
      <c r="R27" s="13" t="s">
        <v>24</v>
      </c>
    </row>
    <row r="28" spans="1:147" outlineLevel="1" x14ac:dyDescent="0.3">
      <c r="A28" s="87"/>
      <c r="B28" s="87"/>
      <c r="C28" s="87"/>
      <c r="D28" s="88"/>
      <c r="E28" s="88"/>
      <c r="F28" s="162"/>
      <c r="G28" s="9" t="str">
        <f t="shared" ref="G28:G34" si="11">IF(ISBLANK(A28),"",NETWORKDAYS(D28,E28)*F28)</f>
        <v/>
      </c>
      <c r="H28" s="120" t="str">
        <f t="shared" ref="H28:H34" si="12">IF(ISBLANK(A28),"",G28*$B$9)</f>
        <v/>
      </c>
      <c r="I28" s="90"/>
      <c r="J28" s="36" t="str">
        <f t="shared" ref="J28:J34" si="13">IF(ISBLANK(A28),"",H28*I28)</f>
        <v/>
      </c>
      <c r="K28" s="211"/>
      <c r="L28" s="219" t="str">
        <f t="shared" ref="L28:L34" si="14">IF(ISBLANK(A28)," ",(K28*G28*$B$9))</f>
        <v xml:space="preserve"> </v>
      </c>
      <c r="M28" s="36" t="str">
        <f>IF(ISBLANK(A28),"",(I28*G28*8)-L28)</f>
        <v/>
      </c>
      <c r="N28" s="90"/>
      <c r="O28" s="209" t="str">
        <f t="shared" ref="O28:O34" si="15">IF(ISBLANK(A28),"",G28*N28*$B$9)</f>
        <v/>
      </c>
      <c r="P28" s="36" t="str">
        <f t="shared" ref="P28:P34" si="16">IF(ISBLANK(A28),"",O28-L28)</f>
        <v/>
      </c>
      <c r="Q28" s="15" t="str">
        <f t="shared" ref="Q28:Q34" si="17">IF(ISBLANK(A28),"",P28/O28)</f>
        <v/>
      </c>
      <c r="R28" s="8" t="str">
        <f t="shared" ref="R28:R34" si="18">IF(ISBLANK(A28),"",1-O28/J28)</f>
        <v/>
      </c>
      <c r="T28" s="41" t="str">
        <f t="shared" ref="T28:T34" si="19">IF(ISBLANK(A28),"",CONCATENATE(C28,"-",$B$5))</f>
        <v/>
      </c>
      <c r="X28" s="43"/>
    </row>
    <row r="29" spans="1:147" outlineLevel="1" x14ac:dyDescent="0.3">
      <c r="A29" s="87"/>
      <c r="B29" s="87"/>
      <c r="C29" s="87"/>
      <c r="D29" s="88"/>
      <c r="E29" s="88"/>
      <c r="F29" s="162"/>
      <c r="G29" s="9" t="str">
        <f t="shared" si="11"/>
        <v/>
      </c>
      <c r="H29" s="120" t="str">
        <f t="shared" si="12"/>
        <v/>
      </c>
      <c r="I29" s="90"/>
      <c r="J29" s="36" t="str">
        <f t="shared" si="13"/>
        <v/>
      </c>
      <c r="K29" s="211"/>
      <c r="L29" s="219" t="str">
        <f t="shared" si="14"/>
        <v xml:space="preserve"> </v>
      </c>
      <c r="M29" s="36" t="str">
        <f t="shared" ref="M29:M34" si="20">IF(ISBLANK(A29),"",J29-L29)</f>
        <v/>
      </c>
      <c r="N29" s="90"/>
      <c r="O29" s="209" t="str">
        <f t="shared" si="15"/>
        <v/>
      </c>
      <c r="P29" s="36" t="str">
        <f t="shared" si="16"/>
        <v/>
      </c>
      <c r="Q29" s="15" t="str">
        <f t="shared" si="17"/>
        <v/>
      </c>
      <c r="R29" s="8" t="str">
        <f t="shared" si="18"/>
        <v/>
      </c>
      <c r="T29" s="41" t="str">
        <f t="shared" si="19"/>
        <v/>
      </c>
    </row>
    <row r="30" spans="1:147" outlineLevel="1" x14ac:dyDescent="0.3">
      <c r="A30" s="87"/>
      <c r="B30" s="87"/>
      <c r="C30" s="87"/>
      <c r="D30" s="88"/>
      <c r="E30" s="88"/>
      <c r="F30" s="162"/>
      <c r="G30" s="9" t="str">
        <f t="shared" si="11"/>
        <v/>
      </c>
      <c r="H30" s="120" t="str">
        <f t="shared" si="12"/>
        <v/>
      </c>
      <c r="I30" s="90"/>
      <c r="J30" s="36" t="str">
        <f t="shared" si="13"/>
        <v/>
      </c>
      <c r="K30" s="211"/>
      <c r="L30" s="219" t="str">
        <f t="shared" si="14"/>
        <v xml:space="preserve"> </v>
      </c>
      <c r="M30" s="36" t="str">
        <f t="shared" si="20"/>
        <v/>
      </c>
      <c r="N30" s="90"/>
      <c r="O30" s="209" t="str">
        <f t="shared" si="15"/>
        <v/>
      </c>
      <c r="P30" s="36" t="str">
        <f t="shared" si="16"/>
        <v/>
      </c>
      <c r="Q30" s="15" t="str">
        <f t="shared" si="17"/>
        <v/>
      </c>
      <c r="R30" s="8" t="str">
        <f t="shared" si="18"/>
        <v/>
      </c>
      <c r="T30" s="41" t="str">
        <f t="shared" si="19"/>
        <v/>
      </c>
    </row>
    <row r="31" spans="1:147" outlineLevel="1" x14ac:dyDescent="0.3">
      <c r="A31" s="87"/>
      <c r="B31" s="87"/>
      <c r="C31" s="87"/>
      <c r="D31" s="88"/>
      <c r="E31" s="88"/>
      <c r="F31" s="162"/>
      <c r="G31" s="9" t="str">
        <f t="shared" si="11"/>
        <v/>
      </c>
      <c r="H31" s="120" t="str">
        <f t="shared" si="12"/>
        <v/>
      </c>
      <c r="I31" s="90"/>
      <c r="J31" s="36" t="str">
        <f t="shared" si="13"/>
        <v/>
      </c>
      <c r="K31" s="211"/>
      <c r="L31" s="219" t="str">
        <f t="shared" si="14"/>
        <v xml:space="preserve"> </v>
      </c>
      <c r="M31" s="36" t="str">
        <f t="shared" si="20"/>
        <v/>
      </c>
      <c r="N31" s="90"/>
      <c r="O31" s="209" t="str">
        <f t="shared" si="15"/>
        <v/>
      </c>
      <c r="P31" s="36" t="str">
        <f t="shared" si="16"/>
        <v/>
      </c>
      <c r="Q31" s="15" t="str">
        <f t="shared" si="17"/>
        <v/>
      </c>
      <c r="R31" s="8" t="str">
        <f t="shared" si="18"/>
        <v/>
      </c>
      <c r="T31" s="41" t="str">
        <f t="shared" si="19"/>
        <v/>
      </c>
    </row>
    <row r="32" spans="1:147" outlineLevel="1" x14ac:dyDescent="0.3">
      <c r="A32" s="87"/>
      <c r="B32" s="87"/>
      <c r="C32" s="87"/>
      <c r="D32" s="88"/>
      <c r="E32" s="88"/>
      <c r="F32" s="162"/>
      <c r="G32" s="9" t="str">
        <f t="shared" si="11"/>
        <v/>
      </c>
      <c r="H32" s="120" t="str">
        <f t="shared" si="12"/>
        <v/>
      </c>
      <c r="I32" s="90"/>
      <c r="J32" s="36" t="str">
        <f t="shared" si="13"/>
        <v/>
      </c>
      <c r="K32" s="211"/>
      <c r="L32" s="219" t="str">
        <f t="shared" si="14"/>
        <v xml:space="preserve"> </v>
      </c>
      <c r="M32" s="36" t="str">
        <f t="shared" si="20"/>
        <v/>
      </c>
      <c r="N32" s="90"/>
      <c r="O32" s="209" t="str">
        <f t="shared" si="15"/>
        <v/>
      </c>
      <c r="P32" s="36" t="str">
        <f t="shared" si="16"/>
        <v/>
      </c>
      <c r="Q32" s="15" t="str">
        <f t="shared" si="17"/>
        <v/>
      </c>
      <c r="R32" s="8" t="str">
        <f t="shared" si="18"/>
        <v/>
      </c>
      <c r="T32" s="41" t="str">
        <f t="shared" si="19"/>
        <v/>
      </c>
    </row>
    <row r="33" spans="1:147" outlineLevel="1" x14ac:dyDescent="0.3">
      <c r="A33" s="87"/>
      <c r="B33" s="87"/>
      <c r="C33" s="87"/>
      <c r="D33" s="88"/>
      <c r="E33" s="88"/>
      <c r="F33" s="162"/>
      <c r="G33" s="9" t="str">
        <f t="shared" si="11"/>
        <v/>
      </c>
      <c r="H33" s="120" t="str">
        <f t="shared" si="12"/>
        <v/>
      </c>
      <c r="I33" s="90"/>
      <c r="J33" s="36" t="str">
        <f t="shared" si="13"/>
        <v/>
      </c>
      <c r="K33" s="211"/>
      <c r="L33" s="219" t="str">
        <f t="shared" si="14"/>
        <v xml:space="preserve"> </v>
      </c>
      <c r="M33" s="36" t="str">
        <f t="shared" si="20"/>
        <v/>
      </c>
      <c r="N33" s="90"/>
      <c r="O33" s="209" t="str">
        <f t="shared" si="15"/>
        <v/>
      </c>
      <c r="P33" s="36" t="str">
        <f t="shared" si="16"/>
        <v/>
      </c>
      <c r="Q33" s="15" t="str">
        <f t="shared" si="17"/>
        <v/>
      </c>
      <c r="R33" s="8" t="str">
        <f t="shared" si="18"/>
        <v/>
      </c>
      <c r="T33" s="41" t="str">
        <f t="shared" si="19"/>
        <v/>
      </c>
    </row>
    <row r="34" spans="1:147" s="11" customFormat="1" ht="14.4" outlineLevel="1" thickBot="1" x14ac:dyDescent="0.35">
      <c r="A34" s="167"/>
      <c r="B34" s="167"/>
      <c r="C34" s="167"/>
      <c r="D34" s="168"/>
      <c r="E34" s="168"/>
      <c r="F34" s="169"/>
      <c r="G34" s="170" t="str">
        <f t="shared" si="11"/>
        <v/>
      </c>
      <c r="H34" s="171" t="str">
        <f t="shared" si="12"/>
        <v/>
      </c>
      <c r="I34" s="175"/>
      <c r="J34" s="82" t="str">
        <f t="shared" si="13"/>
        <v/>
      </c>
      <c r="K34" s="212"/>
      <c r="L34" s="220" t="str">
        <f t="shared" si="14"/>
        <v xml:space="preserve"> </v>
      </c>
      <c r="M34" s="82" t="str">
        <f t="shared" si="20"/>
        <v/>
      </c>
      <c r="N34" s="175"/>
      <c r="O34" s="208" t="str">
        <f t="shared" si="15"/>
        <v/>
      </c>
      <c r="P34" s="82" t="str">
        <f t="shared" si="16"/>
        <v/>
      </c>
      <c r="Q34" s="158" t="str">
        <f t="shared" si="17"/>
        <v/>
      </c>
      <c r="R34" s="173" t="str">
        <f t="shared" si="18"/>
        <v/>
      </c>
      <c r="S34" s="174"/>
      <c r="T34" s="41" t="str">
        <f t="shared" si="19"/>
        <v/>
      </c>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J34" s="41"/>
      <c r="BK34" s="41"/>
      <c r="BL34" s="41"/>
      <c r="BM34" s="41"/>
      <c r="BN34" s="41"/>
      <c r="BO34" s="41"/>
      <c r="BP34" s="41"/>
      <c r="BQ34" s="41"/>
      <c r="BR34" s="41"/>
      <c r="BS34" s="41"/>
      <c r="BT34" s="41"/>
      <c r="BU34" s="41"/>
      <c r="BV34" s="41"/>
      <c r="BW34" s="41"/>
      <c r="BX34" s="41"/>
      <c r="BY34" s="41"/>
      <c r="BZ34" s="41"/>
      <c r="CA34" s="41"/>
      <c r="CB34" s="41"/>
      <c r="CC34" s="41"/>
      <c r="CD34" s="41"/>
      <c r="CE34" s="41"/>
      <c r="CF34" s="41"/>
      <c r="CG34" s="41"/>
      <c r="CH34" s="41"/>
      <c r="CI34" s="41"/>
      <c r="CJ34" s="41"/>
      <c r="CK34" s="41"/>
      <c r="CL34" s="41"/>
      <c r="CM34" s="41"/>
      <c r="CN34" s="41"/>
      <c r="CO34" s="41"/>
      <c r="CP34" s="41"/>
      <c r="CQ34" s="41"/>
      <c r="CR34" s="41"/>
      <c r="CS34" s="41"/>
      <c r="CT34" s="41"/>
      <c r="CU34" s="41"/>
      <c r="CV34" s="41"/>
      <c r="CW34" s="41"/>
      <c r="CX34" s="41"/>
      <c r="CY34" s="41"/>
      <c r="CZ34" s="41"/>
      <c r="DA34" s="41"/>
      <c r="DB34" s="41"/>
      <c r="DC34" s="41"/>
      <c r="DD34" s="41"/>
      <c r="DE34" s="41"/>
      <c r="DF34" s="41"/>
      <c r="DG34" s="41"/>
      <c r="DH34" s="41"/>
      <c r="DI34" s="41"/>
      <c r="DJ34" s="41"/>
      <c r="DK34" s="41"/>
      <c r="DL34" s="41"/>
      <c r="DM34" s="41"/>
      <c r="DN34" s="41"/>
      <c r="DO34" s="41"/>
      <c r="DP34" s="41"/>
      <c r="DQ34" s="41"/>
      <c r="DR34" s="41"/>
      <c r="DS34" s="41"/>
      <c r="DT34" s="41"/>
      <c r="DU34" s="41"/>
      <c r="DV34" s="41"/>
      <c r="DW34" s="41"/>
      <c r="DX34" s="41"/>
      <c r="DY34" s="41"/>
      <c r="DZ34" s="41"/>
      <c r="EA34" s="41"/>
      <c r="EB34" s="41"/>
      <c r="EC34" s="41"/>
      <c r="ED34" s="41"/>
      <c r="EE34" s="41"/>
      <c r="EF34" s="41"/>
      <c r="EG34" s="41"/>
      <c r="EH34" s="41"/>
      <c r="EI34" s="41"/>
      <c r="EJ34" s="41"/>
      <c r="EK34" s="41"/>
      <c r="EL34" s="41"/>
      <c r="EM34" s="41"/>
      <c r="EN34" s="41"/>
      <c r="EO34" s="41"/>
      <c r="EP34" s="41"/>
      <c r="EQ34" s="41"/>
    </row>
    <row r="35" spans="1:147" x14ac:dyDescent="0.3">
      <c r="A35" s="3" t="s">
        <v>13</v>
      </c>
      <c r="G35" s="9">
        <f>SUM(G28:G34)</f>
        <v>0</v>
      </c>
      <c r="H35" s="9">
        <f>SUM(H28:H34)</f>
        <v>0</v>
      </c>
      <c r="I35" s="31"/>
      <c r="J35" s="36">
        <f>SUM(J28:J34)</f>
        <v>0</v>
      </c>
      <c r="K35" s="209"/>
      <c r="L35" s="209">
        <f>SUM(L28:L34)</f>
        <v>0</v>
      </c>
      <c r="M35" s="36">
        <f>SUM(M28:M34)</f>
        <v>0</v>
      </c>
      <c r="N35" s="33"/>
      <c r="O35" s="209">
        <f>SUM(O28:O34)</f>
        <v>0</v>
      </c>
      <c r="P35" s="36">
        <f>SUM(P28:P34)</f>
        <v>0</v>
      </c>
      <c r="Q35" s="15">
        <f>IF(ISBLANK(A35),"",IF(O35&gt;0,P35/O35,0))</f>
        <v>0</v>
      </c>
      <c r="R35" s="8">
        <f>IF(ISBLANK(A35),"",IF(J35&gt;0,1-O35/J35,1))</f>
        <v>1</v>
      </c>
    </row>
    <row r="36" spans="1:147" x14ac:dyDescent="0.3">
      <c r="I36" s="31"/>
      <c r="J36" s="36"/>
      <c r="K36" s="209"/>
      <c r="L36" s="209"/>
      <c r="M36" s="36"/>
      <c r="O36" s="209"/>
      <c r="P36" s="36"/>
    </row>
    <row r="37" spans="1:147" x14ac:dyDescent="0.3">
      <c r="A37" s="3" t="s">
        <v>14</v>
      </c>
      <c r="G37" s="17">
        <f>IF($B$4="Fixed Price",RISK!$L$7*(G24+G35),RISK!$N$7*(G24+G35))</f>
        <v>0</v>
      </c>
      <c r="H37" s="120">
        <f>IF(ISBLANK(B6),0,G37*B9)</f>
        <v>0</v>
      </c>
      <c r="I37" s="33"/>
      <c r="J37" s="51">
        <f>IF($B$4="Fixed Price",RISK!$L$7*(J24+J35),RISK!$N$7*(J24+J35))</f>
        <v>0</v>
      </c>
      <c r="K37" s="209"/>
      <c r="L37" s="51">
        <f>IF($B$4="Fixed Price",RISK!$L$7*(L24+L35),RISK!$N$7*(L24+L35))</f>
        <v>0</v>
      </c>
      <c r="M37" s="51">
        <f>IF($B$4="Fixed Price",RISK!$L$7*(M24+M35),RISK!$N$7*(M24+M35))</f>
        <v>0</v>
      </c>
      <c r="O37" s="51">
        <f>IF($B$4="Fixed Price",RISK!$L$7*(O24+O35),RISK!$N$7*(O24+O35))</f>
        <v>0</v>
      </c>
      <c r="P37" s="51">
        <f>IF($B$4="Fixed Price",RISK!$L$7*(P24+P35),RISK!$N$7*(P24+P35))</f>
        <v>0</v>
      </c>
      <c r="Q37" s="15" t="str">
        <f>IF(G37=0,"",P37/O37)</f>
        <v/>
      </c>
      <c r="R37" s="8" t="str">
        <f>IF(G37=0,"",1-O37/J37)</f>
        <v/>
      </c>
    </row>
    <row r="38" spans="1:147" x14ac:dyDescent="0.3">
      <c r="A38" s="3" t="s">
        <v>173</v>
      </c>
      <c r="G38" s="17">
        <f>IF($B$4="Fixed Price",RISK!$M$7*(G24+G35)+RISK!$O$7*(G24+G35),0)</f>
        <v>0</v>
      </c>
      <c r="H38" s="120">
        <f>IF(ISBLANK(B6),0,G38*B9)</f>
        <v>0</v>
      </c>
      <c r="I38" s="33"/>
      <c r="J38" s="17">
        <f>IF($B$4="Fixed Price",RISK!$M$7*(J24+J35)+RISK!$O$7*(J24+J35),0)</f>
        <v>0</v>
      </c>
      <c r="K38" s="209"/>
      <c r="L38" s="17">
        <f>IF($B$4="Fixed Price",RISK!$M$7*(L24+L35)+RISK!$O$7*(L24+L35),0)</f>
        <v>0</v>
      </c>
      <c r="M38" s="17">
        <f>IF($B$4="Fixed Price",RISK!$M$7*(M24+M35)+RISK!$O$7*(M24+M35),0)</f>
        <v>0</v>
      </c>
      <c r="O38" s="17">
        <f>IF($B$4="Fixed Price",RISK!$M$7*(O24+O35)+RISK!$O$7*(O24+O35),0)</f>
        <v>0</v>
      </c>
      <c r="P38" s="17">
        <f>IF($B$4="Fixed Price",RISK!$M$7*(P24+P35)+RISK!$O$7*(P24+P35),0)</f>
        <v>0</v>
      </c>
      <c r="Q38" s="15" t="str">
        <f>IF(G38=0,"",P38/O38)</f>
        <v/>
      </c>
      <c r="R38" s="8" t="str">
        <f>IF(G38=0,"",1-O38/J38)</f>
        <v/>
      </c>
    </row>
    <row r="39" spans="1:147" x14ac:dyDescent="0.3">
      <c r="A39" s="3" t="s">
        <v>172</v>
      </c>
      <c r="G39" s="17">
        <f>IF($B$4="T&amp;M",RISK!$O$7*(G24+G35),0)</f>
        <v>0</v>
      </c>
      <c r="H39" s="120">
        <f>IF(ISBLANK(B6),0,G39*B9)</f>
        <v>0</v>
      </c>
      <c r="I39" s="33"/>
      <c r="J39" s="17">
        <f>IF($B$4="T&amp;M",RISK!$O$7*(J24+J35),0)</f>
        <v>0</v>
      </c>
      <c r="K39" s="209"/>
      <c r="L39" s="17">
        <f>IF($B$4="T&amp;M",RISK!$O$7*(L24+L35),0)</f>
        <v>0</v>
      </c>
      <c r="M39" s="17">
        <f>IF($B$4="T&amp;M",RISK!$O$7*(M24+M35),0)</f>
        <v>0</v>
      </c>
      <c r="O39" s="17">
        <f>IF($B$4="T&amp;M",RISK!$O$7*(O24+O35),0)</f>
        <v>0</v>
      </c>
      <c r="P39" s="17">
        <f>IF($B$4="T&amp;M",RISK!$O$7*(P24+P35),0)</f>
        <v>0</v>
      </c>
      <c r="Q39" s="15" t="str">
        <f>IF(G39=0,"",P39/O39)</f>
        <v/>
      </c>
      <c r="R39" s="8" t="str">
        <f>IF(G39=0,"",1-O39/J39)</f>
        <v/>
      </c>
    </row>
    <row r="40" spans="1:147" x14ac:dyDescent="0.3">
      <c r="A40" s="3" t="s">
        <v>147</v>
      </c>
      <c r="G40" s="17">
        <f>G24+G35+G37+G38+G39</f>
        <v>0</v>
      </c>
      <c r="H40" s="17">
        <f>H24+H35+H37+H38+H39</f>
        <v>0</v>
      </c>
      <c r="I40" s="33"/>
      <c r="J40" s="17">
        <f>J24+J35+J37+J38+J39</f>
        <v>0</v>
      </c>
      <c r="K40" s="209"/>
      <c r="L40" s="17">
        <f>L24+L35+L37+L38+L39</f>
        <v>0</v>
      </c>
      <c r="M40" s="17">
        <f>M24+M35+M37+M39+M50+M38</f>
        <v>0</v>
      </c>
      <c r="O40" s="17">
        <f>O24+O35+O37+O38+O39</f>
        <v>0</v>
      </c>
      <c r="P40" s="17">
        <f>P24+P35+P37+P39+P50+P38</f>
        <v>0</v>
      </c>
      <c r="Q40" s="15">
        <f>IF(ISBLANK(A40),"",IF(O40&gt;0,P40/O40,0))</f>
        <v>0</v>
      </c>
      <c r="R40" s="8"/>
    </row>
    <row r="41" spans="1:147" x14ac:dyDescent="0.3">
      <c r="A41" s="3"/>
      <c r="G41" s="17"/>
      <c r="H41" s="120"/>
      <c r="I41" s="33"/>
      <c r="J41" s="51"/>
      <c r="K41" s="209"/>
      <c r="L41" s="51"/>
      <c r="M41" s="51"/>
      <c r="O41" s="51"/>
      <c r="P41" s="51"/>
      <c r="Q41" s="15"/>
      <c r="R41" s="8"/>
    </row>
    <row r="42" spans="1:147" hidden="1" outlineLevel="1" x14ac:dyDescent="0.3">
      <c r="A42" s="12" t="s">
        <v>145</v>
      </c>
      <c r="B42" s="12"/>
      <c r="C42" s="12"/>
      <c r="D42" s="13" t="s">
        <v>56</v>
      </c>
      <c r="E42" s="13" t="s">
        <v>57</v>
      </c>
      <c r="F42" s="13" t="s">
        <v>149</v>
      </c>
      <c r="G42" s="13" t="s">
        <v>20</v>
      </c>
      <c r="H42" s="119" t="s">
        <v>83</v>
      </c>
      <c r="I42" s="40" t="s">
        <v>10</v>
      </c>
      <c r="J42" s="13" t="s">
        <v>58</v>
      </c>
      <c r="K42" s="206"/>
      <c r="L42" s="218" t="s">
        <v>31</v>
      </c>
      <c r="M42" s="39" t="s">
        <v>21</v>
      </c>
      <c r="N42" s="35" t="s">
        <v>22</v>
      </c>
      <c r="O42" s="218" t="s">
        <v>60</v>
      </c>
      <c r="P42" s="13" t="s">
        <v>32</v>
      </c>
      <c r="Q42" s="13"/>
      <c r="R42" s="13"/>
    </row>
    <row r="43" spans="1:147" hidden="1" outlineLevel="1" x14ac:dyDescent="0.3">
      <c r="A43" s="160"/>
      <c r="B43" s="160"/>
      <c r="C43" s="160"/>
      <c r="D43" s="161"/>
      <c r="E43" s="161"/>
      <c r="F43" s="162"/>
      <c r="G43" s="163" t="str">
        <f>IF(ISBLANK(A43),"",NETWORKDAYS(D43,E43)*F43)</f>
        <v/>
      </c>
      <c r="H43" s="164" t="str">
        <f>IF(ISBLANK(A43),"",G43*$B$9)</f>
        <v/>
      </c>
      <c r="I43" s="165">
        <v>0</v>
      </c>
      <c r="J43" s="80" t="str">
        <f>IF(ISBLANK(A43),"",H43*I43)</f>
        <v/>
      </c>
      <c r="K43" s="213">
        <v>0</v>
      </c>
      <c r="L43" s="221" t="str">
        <f>IF(ISBLANK(A43)," ",(K43*G43*$B$9))</f>
        <v xml:space="preserve"> </v>
      </c>
      <c r="M43" s="80" t="str">
        <f>IF(ISBLANK(A43),"",(I43*G43*8)-L43)</f>
        <v/>
      </c>
      <c r="N43" s="165">
        <v>0</v>
      </c>
      <c r="O43" s="207" t="str">
        <f>IF(ISBLANK(A43),"",G43*N43*$B$9)</f>
        <v/>
      </c>
      <c r="P43" s="80" t="str">
        <f>IF(ISBLANK(A43),"",O43-L43)</f>
        <v/>
      </c>
      <c r="Q43" s="155"/>
      <c r="R43" s="166"/>
      <c r="S43" s="41"/>
      <c r="T43" s="41" t="str">
        <f>IF(ISBLANK(A43),"",CONCATENATE(C43,"-",$B$5))</f>
        <v/>
      </c>
      <c r="X43" s="43"/>
    </row>
    <row r="44" spans="1:147" hidden="1" outlineLevel="1" x14ac:dyDescent="0.3">
      <c r="A44" s="160"/>
      <c r="B44" s="160"/>
      <c r="C44" s="160"/>
      <c r="D44" s="161"/>
      <c r="E44" s="161"/>
      <c r="F44" s="162"/>
      <c r="G44" s="163" t="str">
        <f>IF(ISBLANK(A44),"",NETWORKDAYS(D44,E44)*F44)</f>
        <v/>
      </c>
      <c r="H44" s="164" t="str">
        <f>IF(ISBLANK(A44),"",G44*$B$9)</f>
        <v/>
      </c>
      <c r="I44" s="165">
        <v>0</v>
      </c>
      <c r="J44" s="80" t="str">
        <f>IF(ISBLANK(A44),"",H44*I44)</f>
        <v/>
      </c>
      <c r="K44" s="213">
        <v>0</v>
      </c>
      <c r="L44" s="221" t="str">
        <f>IF(ISBLANK(A44)," ",(K44*G44*$B$9))</f>
        <v xml:space="preserve"> </v>
      </c>
      <c r="M44" s="80" t="str">
        <f>IF(ISBLANK(A44),"",J44-L44)</f>
        <v/>
      </c>
      <c r="N44" s="165">
        <v>0</v>
      </c>
      <c r="O44" s="207" t="str">
        <f>IF(ISBLANK(A44),"",G44*N44*$B$9)</f>
        <v/>
      </c>
      <c r="P44" s="80" t="str">
        <f>IF(ISBLANK(A44),"",O44-L44)</f>
        <v/>
      </c>
      <c r="Q44" s="155"/>
      <c r="R44" s="166"/>
      <c r="S44" s="41"/>
      <c r="T44" s="41" t="str">
        <f>IF(ISBLANK(A44),"",CONCATENATE(C44,"-",$B$5))</f>
        <v/>
      </c>
    </row>
    <row r="45" spans="1:147" hidden="1" outlineLevel="1" x14ac:dyDescent="0.3">
      <c r="A45" s="160"/>
      <c r="B45" s="160"/>
      <c r="C45" s="160"/>
      <c r="D45" s="161"/>
      <c r="E45" s="161"/>
      <c r="F45" s="162"/>
      <c r="G45" s="163" t="str">
        <f>IF(ISBLANK(A45),"",NETWORKDAYS(D45,E45)*F45)</f>
        <v/>
      </c>
      <c r="H45" s="164" t="str">
        <f>IF(ISBLANK(A45),"",G45*$B$9)</f>
        <v/>
      </c>
      <c r="I45" s="165">
        <v>0</v>
      </c>
      <c r="J45" s="80" t="str">
        <f>IF(ISBLANK(A45),"",H45*I45)</f>
        <v/>
      </c>
      <c r="K45" s="213">
        <v>0</v>
      </c>
      <c r="L45" s="221" t="str">
        <f>IF(ISBLANK(A45)," ",(K45*G45*$B$9))</f>
        <v xml:space="preserve"> </v>
      </c>
      <c r="M45" s="80" t="str">
        <f>IF(ISBLANK(A45),"",J45-L45)</f>
        <v/>
      </c>
      <c r="N45" s="165">
        <v>0</v>
      </c>
      <c r="O45" s="207" t="str">
        <f>IF(ISBLANK(A45),"",G45*N45*$B$9)</f>
        <v/>
      </c>
      <c r="P45" s="80" t="str">
        <f>IF(ISBLANK(A45),"",O45-L45)</f>
        <v/>
      </c>
      <c r="Q45" s="155" t="str">
        <f>IF(ISBLANK(A45),"",P45/O45)</f>
        <v/>
      </c>
      <c r="R45" s="166" t="str">
        <f>IF(ISBLANK(A45),"",1-O45/J45)</f>
        <v/>
      </c>
      <c r="S45" s="41"/>
      <c r="T45" s="41" t="str">
        <f>IF(ISBLANK(A45),"",CONCATENATE(C45,"-",$B$5))</f>
        <v/>
      </c>
    </row>
    <row r="46" spans="1:147" hidden="1" outlineLevel="1" x14ac:dyDescent="0.3">
      <c r="A46" s="160"/>
      <c r="B46" s="160"/>
      <c r="C46" s="160"/>
      <c r="D46" s="161"/>
      <c r="E46" s="161"/>
      <c r="F46" s="162"/>
      <c r="G46" s="163" t="str">
        <f>IF(ISBLANK(A46),"",NETWORKDAYS(D46,E46)*F46)</f>
        <v/>
      </c>
      <c r="H46" s="164" t="str">
        <f>IF(ISBLANK(A46),"",G46*$B$9)</f>
        <v/>
      </c>
      <c r="I46" s="165">
        <v>0</v>
      </c>
      <c r="J46" s="80" t="str">
        <f>IF(ISBLANK(A46),"",H46*I46)</f>
        <v/>
      </c>
      <c r="K46" s="213">
        <v>0</v>
      </c>
      <c r="L46" s="221" t="str">
        <f>IF(ISBLANK(A46)," ",(K46*G46*$B$9))</f>
        <v xml:space="preserve"> </v>
      </c>
      <c r="M46" s="80" t="str">
        <f>IF(ISBLANK(A46),"",J46-L46)</f>
        <v/>
      </c>
      <c r="N46" s="165">
        <v>0</v>
      </c>
      <c r="O46" s="207" t="str">
        <f>IF(ISBLANK(A46),"",G46*N46*$B$9)</f>
        <v/>
      </c>
      <c r="P46" s="80" t="str">
        <f>IF(ISBLANK(A46),"",O46-L46)</f>
        <v/>
      </c>
      <c r="Q46" s="155" t="str">
        <f>IF(ISBLANK(A46),"",P46/O46)</f>
        <v/>
      </c>
      <c r="R46" s="166" t="str">
        <f>IF(ISBLANK(A46),"",1-O46/J46)</f>
        <v/>
      </c>
      <c r="S46" s="41"/>
      <c r="T46" s="41" t="str">
        <f>IF(ISBLANK(A46),"",CONCATENATE(C46,"-",$B$5))</f>
        <v/>
      </c>
    </row>
    <row r="47" spans="1:147" ht="14.4" hidden="1" outlineLevel="1" thickBot="1" x14ac:dyDescent="0.35">
      <c r="A47" s="167"/>
      <c r="B47" s="167"/>
      <c r="C47" s="167"/>
      <c r="D47" s="168"/>
      <c r="E47" s="168"/>
      <c r="F47" s="169"/>
      <c r="G47" s="170" t="str">
        <f>IF(ISBLANK(A47),"",NETWORKDAYS(D47,E47)*F47)</f>
        <v/>
      </c>
      <c r="H47" s="171" t="str">
        <f>IF(ISBLANK(A47),"",G47*$B$9)</f>
        <v/>
      </c>
      <c r="I47" s="172">
        <v>0</v>
      </c>
      <c r="J47" s="82" t="str">
        <f>IF(ISBLANK(A47),"",H47*I47)</f>
        <v/>
      </c>
      <c r="K47" s="214">
        <v>0</v>
      </c>
      <c r="L47" s="220" t="str">
        <f>IF(ISBLANK(A47)," ",(K47*G47*$B$9))</f>
        <v xml:space="preserve"> </v>
      </c>
      <c r="M47" s="82" t="str">
        <f>IF(ISBLANK(A47),"",J47-L47)</f>
        <v/>
      </c>
      <c r="N47" s="172">
        <v>0</v>
      </c>
      <c r="O47" s="208" t="str">
        <f>IF(ISBLANK(A47),"",G47*N47*$B$9)</f>
        <v/>
      </c>
      <c r="P47" s="82" t="str">
        <f>IF(ISBLANK(A47),"",O47-L47)</f>
        <v/>
      </c>
      <c r="Q47" s="158" t="str">
        <f>IF(ISBLANK(A47),"",P47/O47)</f>
        <v/>
      </c>
      <c r="R47" s="173" t="str">
        <f>IF(ISBLANK(A47),"",1-O47/J47)</f>
        <v/>
      </c>
      <c r="S47" s="174"/>
      <c r="T47" s="41" t="str">
        <f>IF(ISBLANK(A47),"",CONCATENATE(C47,"-",$B$5))</f>
        <v/>
      </c>
    </row>
    <row r="48" spans="1:147" hidden="1" x14ac:dyDescent="0.3">
      <c r="A48" s="3" t="s">
        <v>146</v>
      </c>
      <c r="G48" s="17">
        <f>SUM(G43:G47)</f>
        <v>0</v>
      </c>
      <c r="H48" s="17">
        <f>SUM(H43:H47)</f>
        <v>0</v>
      </c>
      <c r="I48" s="33"/>
      <c r="J48" s="51"/>
      <c r="K48" s="209"/>
      <c r="L48" s="51"/>
      <c r="M48" s="51"/>
      <c r="O48" s="51"/>
      <c r="P48" s="51"/>
      <c r="Q48" s="15"/>
      <c r="R48" s="8"/>
    </row>
    <row r="49" spans="1:147" hidden="1" x14ac:dyDescent="0.3">
      <c r="A49" s="3"/>
      <c r="G49" s="17"/>
      <c r="H49" s="120"/>
      <c r="I49" s="33"/>
      <c r="J49" s="123"/>
      <c r="K49" s="209"/>
      <c r="L49" s="51"/>
      <c r="M49" s="51"/>
      <c r="O49" s="123"/>
      <c r="P49" s="51"/>
      <c r="Q49" s="15" t="str">
        <f>IF(G49=0,"",P49/O49)</f>
        <v/>
      </c>
      <c r="R49" s="8" t="str">
        <f>IF(G49=0,"",1-O49/J49)</f>
        <v/>
      </c>
    </row>
    <row r="50" spans="1:147" s="11" customFormat="1" x14ac:dyDescent="0.3">
      <c r="A50" s="12" t="s">
        <v>16</v>
      </c>
      <c r="H50" s="121"/>
      <c r="I50" s="32"/>
      <c r="J50" s="37"/>
      <c r="K50" s="215"/>
      <c r="L50" s="365">
        <f>'Non-Reimbursable Expenses'!B34</f>
        <v>0</v>
      </c>
      <c r="M50" s="37"/>
      <c r="N50" s="32"/>
      <c r="O50" s="215">
        <f>IF($B$4="Fixed Price",L50,0)</f>
        <v>0</v>
      </c>
      <c r="P50" s="37"/>
      <c r="Q50" s="18"/>
      <c r="T50" s="41"/>
      <c r="U50" s="41"/>
      <c r="V50" s="41"/>
      <c r="W50" s="41"/>
      <c r="X50" s="41"/>
      <c r="Y50" s="41"/>
      <c r="Z50" s="41"/>
      <c r="AA50" s="41"/>
      <c r="AB50" s="41"/>
      <c r="AC50" s="41"/>
      <c r="AD50" s="41"/>
      <c r="AE50" s="41"/>
      <c r="AF50" s="41"/>
      <c r="AG50" s="41"/>
      <c r="AH50" s="41"/>
      <c r="AI50" s="41"/>
      <c r="AJ50" s="41"/>
      <c r="AK50" s="41"/>
      <c r="AL50" s="41"/>
      <c r="AM50" s="41"/>
      <c r="AN50" s="41"/>
      <c r="AO50" s="41"/>
      <c r="AP50" s="41"/>
      <c r="AQ50" s="41"/>
      <c r="AR50" s="41"/>
      <c r="AS50" s="41"/>
      <c r="AT50" s="41"/>
      <c r="AU50" s="41"/>
      <c r="AV50" s="41"/>
      <c r="AW50" s="41"/>
      <c r="AX50" s="41"/>
      <c r="AY50" s="41"/>
      <c r="AZ50" s="41"/>
      <c r="BA50" s="41"/>
      <c r="BB50" s="41"/>
      <c r="BC50" s="41"/>
      <c r="BD50" s="41"/>
      <c r="BE50" s="41"/>
      <c r="BF50" s="41"/>
      <c r="BG50" s="41"/>
      <c r="BH50" s="41"/>
      <c r="BI50" s="41"/>
      <c r="BJ50" s="41"/>
      <c r="BK50" s="41"/>
      <c r="BL50" s="41"/>
      <c r="BM50" s="41"/>
      <c r="BN50" s="41"/>
      <c r="BO50" s="41"/>
      <c r="BP50" s="41"/>
      <c r="BQ50" s="41"/>
      <c r="BR50" s="41"/>
      <c r="BS50" s="41"/>
      <c r="BT50" s="41"/>
      <c r="BU50" s="41"/>
      <c r="BV50" s="41"/>
      <c r="BW50" s="41"/>
      <c r="BX50" s="41"/>
      <c r="BY50" s="41"/>
      <c r="BZ50" s="41"/>
      <c r="CA50" s="41"/>
      <c r="CB50" s="41"/>
      <c r="CC50" s="41"/>
      <c r="CD50" s="41"/>
      <c r="CE50" s="41"/>
      <c r="CF50" s="41"/>
      <c r="CG50" s="41"/>
      <c r="CH50" s="41"/>
      <c r="CI50" s="41"/>
      <c r="CJ50" s="41"/>
      <c r="CK50" s="41"/>
      <c r="CL50" s="41"/>
      <c r="CM50" s="41"/>
      <c r="CN50" s="41"/>
      <c r="CO50" s="41"/>
      <c r="CP50" s="41"/>
      <c r="CQ50" s="41"/>
      <c r="CR50" s="41"/>
      <c r="CS50" s="41"/>
      <c r="CT50" s="41"/>
      <c r="CU50" s="41"/>
      <c r="CV50" s="41"/>
      <c r="CW50" s="41"/>
      <c r="CX50" s="41"/>
      <c r="CY50" s="41"/>
      <c r="CZ50" s="41"/>
      <c r="DA50" s="41"/>
      <c r="DB50" s="41"/>
      <c r="DC50" s="41"/>
      <c r="DD50" s="41"/>
      <c r="DE50" s="41"/>
      <c r="DF50" s="41"/>
      <c r="DG50" s="41"/>
      <c r="DH50" s="41"/>
      <c r="DI50" s="41"/>
      <c r="DJ50" s="41"/>
      <c r="DK50" s="41"/>
      <c r="DL50" s="41"/>
      <c r="DM50" s="41"/>
      <c r="DN50" s="41"/>
      <c r="DO50" s="41"/>
      <c r="DP50" s="41"/>
      <c r="DQ50" s="41"/>
      <c r="DR50" s="41"/>
      <c r="DS50" s="41"/>
      <c r="DT50" s="41"/>
      <c r="DU50" s="41"/>
      <c r="DV50" s="41"/>
      <c r="DW50" s="41"/>
      <c r="DX50" s="41"/>
      <c r="DY50" s="41"/>
      <c r="DZ50" s="41"/>
      <c r="EA50" s="41"/>
      <c r="EB50" s="41"/>
      <c r="EC50" s="41"/>
      <c r="ED50" s="41"/>
      <c r="EE50" s="41"/>
      <c r="EF50" s="41"/>
      <c r="EG50" s="41"/>
      <c r="EH50" s="41"/>
      <c r="EI50" s="41"/>
      <c r="EJ50" s="41"/>
      <c r="EK50" s="41"/>
      <c r="EL50" s="41"/>
      <c r="EM50" s="41"/>
      <c r="EN50" s="41"/>
      <c r="EO50" s="41"/>
      <c r="EP50" s="41"/>
      <c r="EQ50" s="41"/>
    </row>
    <row r="51" spans="1:147" ht="15.6" x14ac:dyDescent="0.3">
      <c r="A51" s="14" t="s">
        <v>17</v>
      </c>
      <c r="G51" s="9">
        <f>G40+G48</f>
        <v>0</v>
      </c>
      <c r="H51" s="9">
        <f>H40+H48</f>
        <v>0</v>
      </c>
      <c r="I51" s="31"/>
      <c r="J51" s="36">
        <f>J40</f>
        <v>0</v>
      </c>
      <c r="K51" s="209"/>
      <c r="L51" s="209">
        <f>L40+L50</f>
        <v>0</v>
      </c>
      <c r="M51" s="36">
        <f>M40</f>
        <v>0</v>
      </c>
      <c r="N51" s="33"/>
      <c r="O51" s="209">
        <f>O40+O50</f>
        <v>0</v>
      </c>
      <c r="P51" s="36">
        <f>P40</f>
        <v>0</v>
      </c>
      <c r="Q51" s="15">
        <f>IF(ISBLANK(A51),"",IF(O51&gt;0,P51/O51,0))</f>
        <v>0</v>
      </c>
      <c r="R51" s="8">
        <f>IF(ISBLANK(A51),"",IF(J51&gt;0,1-O51/J51,1))</f>
        <v>1</v>
      </c>
    </row>
    <row r="52" spans="1:147" ht="4.5" customHeight="1" thickBot="1" x14ac:dyDescent="0.35">
      <c r="I52" s="31"/>
      <c r="J52" s="36"/>
      <c r="K52" s="209"/>
      <c r="L52" s="209"/>
      <c r="M52" s="36"/>
      <c r="O52" s="209"/>
      <c r="P52" s="36"/>
    </row>
    <row r="53" spans="1:147" ht="15.75" customHeight="1" thickBot="1" x14ac:dyDescent="0.35">
      <c r="A53" s="64" t="s">
        <v>62</v>
      </c>
      <c r="B53" s="65"/>
      <c r="C53" s="65"/>
      <c r="D53" s="65"/>
      <c r="E53" s="65"/>
      <c r="F53" s="65"/>
      <c r="G53" s="66"/>
      <c r="H53" s="122"/>
      <c r="I53" s="67"/>
      <c r="J53" s="68"/>
      <c r="K53" s="216"/>
      <c r="L53" s="216"/>
      <c r="M53" s="68"/>
      <c r="N53" s="67"/>
      <c r="O53" s="222">
        <f>O51</f>
        <v>0</v>
      </c>
      <c r="P53" s="44">
        <f>O53-L51</f>
        <v>0</v>
      </c>
      <c r="Q53" s="45">
        <f>IF(ISBLANK(A53),"",IF(O53&gt;0,P53/O53,0))</f>
        <v>0</v>
      </c>
      <c r="R53" s="46">
        <f>IF(ISBLANK(A53),"",IF(J51&gt;0,1-O53/J51,1))</f>
        <v>1</v>
      </c>
    </row>
    <row r="54" spans="1:147" ht="6" customHeight="1" x14ac:dyDescent="0.3">
      <c r="I54" s="31"/>
      <c r="J54" s="36"/>
      <c r="K54" s="209"/>
      <c r="L54" s="209"/>
      <c r="M54" s="36"/>
      <c r="O54" s="209"/>
      <c r="P54" s="36"/>
    </row>
    <row r="55" spans="1:147" outlineLevel="1" x14ac:dyDescent="0.3">
      <c r="A55" s="2" t="str">
        <f>IF($B$8="Estimate","Low Estimate","")</f>
        <v/>
      </c>
      <c r="G55" s="9">
        <f>G51*(1-$F$8)</f>
        <v>0</v>
      </c>
      <c r="H55" s="9">
        <f>H51*(1-$F$8)</f>
        <v>0</v>
      </c>
      <c r="I55" s="31"/>
      <c r="J55" s="36">
        <f>J51*(1-$F$8)</f>
        <v>0</v>
      </c>
      <c r="K55" s="209"/>
      <c r="L55" s="209">
        <f>L51*(1-$F$8)</f>
        <v>0</v>
      </c>
      <c r="M55" s="36">
        <f>M51*(1-$F$8)</f>
        <v>0</v>
      </c>
      <c r="N55" s="50"/>
      <c r="O55" s="209">
        <f>O51*(1-$F$8)</f>
        <v>0</v>
      </c>
      <c r="P55" s="36">
        <f>P51*(1-$F$8)</f>
        <v>0</v>
      </c>
      <c r="Q55" s="15">
        <f>IF(ISBLANK(A55),"",IF(O55&gt;0,P55/O55,0))</f>
        <v>0</v>
      </c>
      <c r="R55" s="8"/>
    </row>
    <row r="56" spans="1:147" outlineLevel="1" x14ac:dyDescent="0.3">
      <c r="A56" s="2" t="str">
        <f>IF($B$8="Estimate","High Estimate","")</f>
        <v/>
      </c>
      <c r="G56" s="9">
        <f>G51*(1+$F$9)</f>
        <v>0</v>
      </c>
      <c r="H56" s="9">
        <f>H51*(1+$F$9)</f>
        <v>0</v>
      </c>
      <c r="I56" s="31"/>
      <c r="J56" s="36">
        <f>J51*(1+$F$9)</f>
        <v>0</v>
      </c>
      <c r="K56" s="209"/>
      <c r="L56" s="209">
        <f>L51*(1+$F$9)</f>
        <v>0</v>
      </c>
      <c r="M56" s="36">
        <f>M51*(1+$F$9)</f>
        <v>0</v>
      </c>
      <c r="N56" s="50"/>
      <c r="O56" s="209">
        <f>O51*(1+$F$9)</f>
        <v>0</v>
      </c>
      <c r="P56" s="36">
        <f>P51*(1+$F$9)</f>
        <v>0</v>
      </c>
      <c r="Q56" s="15">
        <f>IF(ISBLANK(A56),"",IF(O56&gt;0,P56/O56,0))</f>
        <v>0</v>
      </c>
      <c r="R56" s="8"/>
    </row>
    <row r="57" spans="1:147" x14ac:dyDescent="0.3">
      <c r="I57" s="31"/>
    </row>
  </sheetData>
  <sheetProtection sort="0" autoFilter="0" pivotTables="0"/>
  <mergeCells count="1">
    <mergeCell ref="A24:B24"/>
  </mergeCells>
  <dataValidations count="12">
    <dataValidation type="decimal" allowBlank="1" showInputMessage="1" showErrorMessage="1" sqref="F43">
      <formula1>0</formula1>
      <formula2>1</formula2>
    </dataValidation>
    <dataValidation type="list" showInputMessage="1" showErrorMessage="1" sqref="C8">
      <formula1>"Quote, Estimate, SELECT ONE"</formula1>
    </dataValidation>
    <dataValidation type="list" showInputMessage="1" showErrorMessage="1" sqref="C4">
      <formula1>"T&amp;M, Fixed Price, SELECT ONE"</formula1>
    </dataValidation>
    <dataValidation type="date" operator="greaterThan" allowBlank="1" showInputMessage="1" showErrorMessage="1" sqref="E43:E44 E28 E14:E23">
      <formula1>38353</formula1>
    </dataValidation>
    <dataValidation type="decimal" allowBlank="1" showInputMessage="1" showErrorMessage="1" sqref="F28:F34">
      <formula1>0</formula1>
      <formula2>5</formula2>
    </dataValidation>
    <dataValidation type="whole" showInputMessage="1" showErrorMessage="1" sqref="B9:C9">
      <formula1>8</formula1>
      <formula2>9</formula2>
    </dataValidation>
    <dataValidation type="date" operator="greaterThanOrEqual" allowBlank="1" showInputMessage="1" showErrorMessage="1" sqref="D43:D44 D45:E47 D29:E34 D28 D14:D23">
      <formula1>38353</formula1>
    </dataValidation>
    <dataValidation type="list" showInputMessage="1" showErrorMessage="1" sqref="B10">
      <formula1>"SELECT ONE, APAC, EU, NA"</formula1>
    </dataValidation>
    <dataValidation type="list" allowBlank="1" showInputMessage="1" showErrorMessage="1" sqref="B4">
      <formula1>"T&amp;M, Fixed Price, SELECT ONE"</formula1>
    </dataValidation>
    <dataValidation type="list" allowBlank="1" showInputMessage="1" showErrorMessage="1" sqref="B8">
      <formula1>"Quote, Estimate, Select One"</formula1>
    </dataValidation>
    <dataValidation type="list" allowBlank="1" showInputMessage="1" showErrorMessage="1" sqref="C14:C23">
      <formula1>"APAC, EU, NA, SELECT ONE, ERROR"</formula1>
    </dataValidation>
    <dataValidation type="decimal" allowBlank="1" showInputMessage="1" showErrorMessage="1" sqref="F14:F23">
      <formula1>0</formula1>
      <formula2>9</formula2>
    </dataValidation>
  </dataValidations>
  <pageMargins left="0.75" right="0.75" top="1" bottom="1" header="0.5" footer="0.5"/>
  <pageSetup scale="57" fitToHeight="5" orientation="landscape"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gsrates!$A$60:$A$96</xm:f>
          </x14:formula1>
          <xm:sqref>A14:A23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B31"/>
  <sheetViews>
    <sheetView workbookViewId="0">
      <selection activeCell="C21" sqref="C21"/>
    </sheetView>
  </sheetViews>
  <sheetFormatPr defaultColWidth="10.6640625" defaultRowHeight="13.2" x14ac:dyDescent="0.25"/>
  <cols>
    <col min="1" max="1" width="15.77734375" style="26" customWidth="1"/>
    <col min="2" max="2" width="82.6640625" style="22" customWidth="1"/>
    <col min="3" max="16384" width="10.6640625" style="22"/>
  </cols>
  <sheetData>
    <row r="1" spans="1:2" x14ac:dyDescent="0.25">
      <c r="A1" s="20" t="s">
        <v>27</v>
      </c>
      <c r="B1" s="21"/>
    </row>
    <row r="2" spans="1:2" x14ac:dyDescent="0.25">
      <c r="A2" s="20"/>
      <c r="B2" s="23" t="s">
        <v>79</v>
      </c>
    </row>
    <row r="3" spans="1:2" x14ac:dyDescent="0.25">
      <c r="A3" s="20"/>
      <c r="B3" s="21"/>
    </row>
    <row r="4" spans="1:2" x14ac:dyDescent="0.25">
      <c r="A4" s="24">
        <v>1</v>
      </c>
      <c r="B4" s="25"/>
    </row>
    <row r="5" spans="1:2" x14ac:dyDescent="0.25">
      <c r="A5" s="26">
        <f>A4+1</f>
        <v>2</v>
      </c>
      <c r="B5" s="25"/>
    </row>
    <row r="6" spans="1:2" x14ac:dyDescent="0.25">
      <c r="A6" s="26">
        <f t="shared" ref="A6:A12" si="0">A5+1</f>
        <v>3</v>
      </c>
      <c r="B6" s="27"/>
    </row>
    <row r="7" spans="1:2" x14ac:dyDescent="0.25">
      <c r="A7" s="26">
        <f t="shared" si="0"/>
        <v>4</v>
      </c>
      <c r="B7" s="21"/>
    </row>
    <row r="8" spans="1:2" x14ac:dyDescent="0.25">
      <c r="A8" s="26">
        <f t="shared" si="0"/>
        <v>5</v>
      </c>
    </row>
    <row r="9" spans="1:2" x14ac:dyDescent="0.25">
      <c r="A9" s="26">
        <f t="shared" si="0"/>
        <v>6</v>
      </c>
      <c r="B9" s="26"/>
    </row>
    <row r="10" spans="1:2" x14ac:dyDescent="0.25">
      <c r="A10" s="26">
        <f t="shared" si="0"/>
        <v>7</v>
      </c>
      <c r="B10" s="26"/>
    </row>
    <row r="11" spans="1:2" x14ac:dyDescent="0.25">
      <c r="A11" s="26">
        <f t="shared" si="0"/>
        <v>8</v>
      </c>
      <c r="B11" s="26"/>
    </row>
    <row r="12" spans="1:2" x14ac:dyDescent="0.25">
      <c r="A12" s="26">
        <f t="shared" si="0"/>
        <v>9</v>
      </c>
      <c r="B12" s="26"/>
    </row>
    <row r="13" spans="1:2" x14ac:dyDescent="0.25">
      <c r="A13" s="26">
        <f>A12+1</f>
        <v>10</v>
      </c>
      <c r="B13" s="26"/>
    </row>
    <row r="14" spans="1:2" x14ac:dyDescent="0.25">
      <c r="A14" s="24"/>
      <c r="B14" s="21"/>
    </row>
    <row r="15" spans="1:2" x14ac:dyDescent="0.25">
      <c r="A15" s="24"/>
      <c r="B15" s="21"/>
    </row>
    <row r="16" spans="1:2" x14ac:dyDescent="0.25">
      <c r="A16" s="24"/>
      <c r="B16" s="21"/>
    </row>
    <row r="17" spans="1:2" x14ac:dyDescent="0.25">
      <c r="A17" s="20" t="s">
        <v>28</v>
      </c>
      <c r="B17" s="21"/>
    </row>
    <row r="18" spans="1:2" x14ac:dyDescent="0.25">
      <c r="A18" s="24"/>
      <c r="B18" s="21"/>
    </row>
    <row r="19" spans="1:2" x14ac:dyDescent="0.25">
      <c r="A19" s="24">
        <v>1</v>
      </c>
      <c r="B19" s="27"/>
    </row>
    <row r="20" spans="1:2" x14ac:dyDescent="0.25">
      <c r="A20" s="24">
        <f>A19+1</f>
        <v>2</v>
      </c>
      <c r="B20" s="25"/>
    </row>
    <row r="21" spans="1:2" x14ac:dyDescent="0.25">
      <c r="A21" s="24">
        <f t="shared" ref="A21:A28" si="1">A20+1</f>
        <v>3</v>
      </c>
      <c r="B21" s="27"/>
    </row>
    <row r="22" spans="1:2" x14ac:dyDescent="0.25">
      <c r="A22" s="24">
        <f t="shared" si="1"/>
        <v>4</v>
      </c>
      <c r="B22" s="27"/>
    </row>
    <row r="23" spans="1:2" x14ac:dyDescent="0.25">
      <c r="A23" s="24">
        <f t="shared" si="1"/>
        <v>5</v>
      </c>
      <c r="B23" s="27"/>
    </row>
    <row r="24" spans="1:2" x14ac:dyDescent="0.25">
      <c r="A24" s="24">
        <f t="shared" si="1"/>
        <v>6</v>
      </c>
      <c r="B24" s="27"/>
    </row>
    <row r="25" spans="1:2" x14ac:dyDescent="0.25">
      <c r="A25" s="24">
        <f t="shared" si="1"/>
        <v>7</v>
      </c>
      <c r="B25" s="27"/>
    </row>
    <row r="26" spans="1:2" x14ac:dyDescent="0.25">
      <c r="A26" s="24">
        <f t="shared" si="1"/>
        <v>8</v>
      </c>
      <c r="B26" s="27"/>
    </row>
    <row r="27" spans="1:2" x14ac:dyDescent="0.25">
      <c r="A27" s="24">
        <f t="shared" si="1"/>
        <v>9</v>
      </c>
      <c r="B27" s="27"/>
    </row>
    <row r="28" spans="1:2" x14ac:dyDescent="0.25">
      <c r="A28" s="24">
        <f t="shared" si="1"/>
        <v>10</v>
      </c>
      <c r="B28" s="27"/>
    </row>
    <row r="31" spans="1:2" x14ac:dyDescent="0.25">
      <c r="A31" s="60"/>
    </row>
  </sheetData>
  <phoneticPr fontId="14" type="noConversion"/>
  <pageMargins left="0.75" right="0.75" top="1" bottom="1" header="0.5" footer="0.5"/>
  <pageSetup orientation="portrait" horizontalDpi="4294967293" r:id="rId1"/>
  <headerFooter alignWithMargins="0">
    <oddHeader>&amp;CRisk and Assumptions</oddHeader>
    <oddFooter>&amp;LConfidential&amp;C&amp;P&amp;RPegasystems Internal Use Only</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FF00"/>
    <pageSetUpPr fitToPage="1"/>
  </sheetPr>
  <dimension ref="A1:EQ80"/>
  <sheetViews>
    <sheetView workbookViewId="0">
      <pane xSplit="2" ySplit="13" topLeftCell="D14" activePane="bottomRight" state="frozen"/>
      <selection activeCell="A5" sqref="A5:B10"/>
      <selection pane="topRight" activeCell="A5" sqref="A5:B10"/>
      <selection pane="bottomLeft" activeCell="A5" sqref="A5:B10"/>
      <selection pane="bottomRight" activeCell="K30" sqref="K30"/>
    </sheetView>
  </sheetViews>
  <sheetFormatPr defaultColWidth="9.33203125" defaultRowHeight="13.8" outlineLevelRow="1" x14ac:dyDescent="0.3"/>
  <cols>
    <col min="1" max="1" width="30.33203125" style="2" customWidth="1"/>
    <col min="2" max="2" width="15.109375" style="2" bestFit="1" customWidth="1"/>
    <col min="3" max="3" width="15.109375" style="2" hidden="1" customWidth="1"/>
    <col min="4" max="4" width="10.44140625" style="2" customWidth="1"/>
    <col min="5" max="5" width="10.77734375" style="2" customWidth="1"/>
    <col min="6" max="6" width="13" style="2" bestFit="1" customWidth="1"/>
    <col min="7" max="7" width="11" style="2" bestFit="1" customWidth="1"/>
    <col min="8" max="8" width="11" style="116" customWidth="1"/>
    <col min="9" max="9" width="12.77734375" style="2" customWidth="1"/>
    <col min="10" max="10" width="15" style="2" bestFit="1" customWidth="1"/>
    <col min="11" max="11" width="12.33203125" style="203" customWidth="1"/>
    <col min="12" max="12" width="11.44140625" style="203" customWidth="1"/>
    <col min="13" max="13" width="11.44140625" style="2" customWidth="1"/>
    <col min="14" max="14" width="10.77734375" style="31" customWidth="1"/>
    <col min="15" max="15" width="14.109375" style="203" customWidth="1"/>
    <col min="16" max="16" width="11.44140625" style="2" customWidth="1"/>
    <col min="17" max="17" width="10" style="2" customWidth="1"/>
    <col min="18" max="18" width="11.109375" style="265" customWidth="1"/>
    <col min="19" max="19" width="9.33203125" style="2"/>
    <col min="20" max="20" width="9.33203125" style="41" hidden="1" customWidth="1"/>
    <col min="21" max="21" width="9.33203125" style="41"/>
    <col min="22" max="22" width="27.6640625" style="41" bestFit="1" customWidth="1"/>
    <col min="23" max="23" width="12.109375" style="41" customWidth="1"/>
    <col min="24" max="24" width="28.109375" style="41" hidden="1" customWidth="1"/>
    <col min="25" max="147" width="9.33203125" style="41"/>
    <col min="148" max="16384" width="9.33203125" style="2"/>
  </cols>
  <sheetData>
    <row r="1" spans="1:147" x14ac:dyDescent="0.3">
      <c r="A1" s="2" t="s">
        <v>0</v>
      </c>
      <c r="B1" s="139" t="str">
        <f>IF(ISBLANK(Summary!B1)," ",Summary!B1)</f>
        <v>&lt;Enter Account Name&gt;</v>
      </c>
      <c r="C1" s="141"/>
    </row>
    <row r="2" spans="1:147" x14ac:dyDescent="0.3">
      <c r="A2" s="2" t="s">
        <v>164</v>
      </c>
      <c r="B2" s="139" t="str">
        <f>IF(ISBLANK(Summary!B3)," ",Summary!B3)</f>
        <v>NEW ECR</v>
      </c>
      <c r="C2" s="141"/>
      <c r="V2" s="42"/>
      <c r="X2" s="41" t="s">
        <v>99</v>
      </c>
    </row>
    <row r="3" spans="1:147" x14ac:dyDescent="0.3">
      <c r="A3" s="2" t="s">
        <v>2</v>
      </c>
      <c r="B3" s="238" t="s">
        <v>182</v>
      </c>
      <c r="C3" s="127"/>
      <c r="E3" s="394" t="s">
        <v>183</v>
      </c>
      <c r="F3" s="394"/>
      <c r="G3" s="394"/>
      <c r="H3" s="394"/>
      <c r="I3" s="394"/>
      <c r="J3" s="127"/>
      <c r="V3" s="42"/>
      <c r="X3" s="41" t="s">
        <v>100</v>
      </c>
    </row>
    <row r="4" spans="1:147" x14ac:dyDescent="0.3">
      <c r="A4" s="2" t="s">
        <v>3</v>
      </c>
      <c r="B4" s="139" t="str">
        <f>IF(ISBLANK(Summary!B5)," ",Summary!B5)</f>
        <v>Fixed Price</v>
      </c>
      <c r="C4" s="142"/>
      <c r="V4" s="42"/>
      <c r="X4" s="41" t="s">
        <v>169</v>
      </c>
    </row>
    <row r="5" spans="1:147" x14ac:dyDescent="0.3">
      <c r="A5" s="2" t="s">
        <v>150</v>
      </c>
      <c r="B5" s="99" t="str">
        <f>IF(ISBLANK(Summary!B6),"ADD on SUMMARY tab",Summary!B6)</f>
        <v>NA</v>
      </c>
      <c r="C5" s="99"/>
      <c r="G5" s="125" t="str">
        <f>IF(AND(O74&gt;0,O76=0),"Enter Total Price in N43"," ")</f>
        <v xml:space="preserve"> </v>
      </c>
      <c r="V5" s="42"/>
      <c r="X5" s="41" t="s">
        <v>101</v>
      </c>
    </row>
    <row r="6" spans="1:147" x14ac:dyDescent="0.3">
      <c r="A6" s="2" t="s">
        <v>4</v>
      </c>
      <c r="B6" s="88">
        <f>MIN(D14:D46)</f>
        <v>42737</v>
      </c>
      <c r="C6" s="143"/>
      <c r="D6" s="4" t="str">
        <f>IF(B6&gt;MIN(D14:D57),"Staffing Starts before this date!",IF(B6&lt;MIN(D14:D57),"No staffing on start date!",""))</f>
        <v/>
      </c>
      <c r="E6"/>
      <c r="F6"/>
      <c r="G6"/>
      <c r="H6" s="117"/>
      <c r="I6"/>
      <c r="J6"/>
      <c r="K6" s="204"/>
      <c r="L6" s="204"/>
      <c r="M6"/>
      <c r="N6" s="50"/>
      <c r="O6" s="204"/>
      <c r="V6" s="42"/>
      <c r="X6" s="41" t="s">
        <v>102</v>
      </c>
    </row>
    <row r="7" spans="1:147" x14ac:dyDescent="0.3">
      <c r="A7" s="2" t="s">
        <v>5</v>
      </c>
      <c r="B7" s="88">
        <f>MAX(E14:E46)</f>
        <v>42737</v>
      </c>
      <c r="C7" s="143"/>
      <c r="D7" s="4" t="str">
        <f>IF(B7&gt;MAX(E14:E57),"Staffing ends before project end date!",IF(B7&lt;MAX(E14:E57),"Staffing continues after end date!",""))</f>
        <v/>
      </c>
      <c r="E7"/>
      <c r="F7"/>
      <c r="G7"/>
      <c r="H7" s="117"/>
      <c r="I7"/>
      <c r="J7"/>
      <c r="K7" s="204"/>
      <c r="L7" s="204"/>
      <c r="M7"/>
      <c r="N7" s="50"/>
      <c r="O7" s="204"/>
      <c r="V7" s="42"/>
      <c r="X7" s="41" t="s">
        <v>103</v>
      </c>
    </row>
    <row r="8" spans="1:147" x14ac:dyDescent="0.3">
      <c r="A8" s="2" t="s">
        <v>6</v>
      </c>
      <c r="B8" s="139" t="str">
        <f>IF(ISBLANK(Summary!B9)," ",Summary!B9)</f>
        <v>Quote</v>
      </c>
      <c r="C8" s="142"/>
      <c r="E8" s="2" t="s">
        <v>160</v>
      </c>
      <c r="F8" s="89">
        <v>0</v>
      </c>
      <c r="V8" s="42"/>
      <c r="X8" s="41" t="s">
        <v>151</v>
      </c>
    </row>
    <row r="9" spans="1:147" x14ac:dyDescent="0.3">
      <c r="A9" s="2" t="s">
        <v>84</v>
      </c>
      <c r="B9" s="126">
        <v>8</v>
      </c>
      <c r="C9" s="144"/>
      <c r="E9" s="2" t="s">
        <v>159</v>
      </c>
      <c r="F9" s="89">
        <v>0</v>
      </c>
      <c r="V9" s="42"/>
      <c r="X9" s="41" t="s">
        <v>170</v>
      </c>
    </row>
    <row r="10" spans="1:147" x14ac:dyDescent="0.3">
      <c r="A10" s="2" t="s">
        <v>72</v>
      </c>
      <c r="B10" s="154" t="str">
        <f>IF(ISBLANK(Summary!B14),"SELECT ONE",Summary!B14)</f>
        <v>USD</v>
      </c>
      <c r="X10" s="41" t="s">
        <v>104</v>
      </c>
    </row>
    <row r="11" spans="1:147" x14ac:dyDescent="0.3">
      <c r="X11" s="41" t="s">
        <v>105</v>
      </c>
    </row>
    <row r="12" spans="1:147" x14ac:dyDescent="0.3">
      <c r="A12" s="3"/>
      <c r="B12" s="3"/>
      <c r="C12" s="3"/>
      <c r="D12" s="5"/>
      <c r="E12" s="5"/>
      <c r="F12" s="5"/>
      <c r="G12" s="6"/>
      <c r="H12" s="118"/>
      <c r="I12" s="6"/>
      <c r="J12" s="6"/>
      <c r="K12" s="205"/>
      <c r="L12" s="205"/>
      <c r="M12" s="6"/>
      <c r="N12" s="34" t="s">
        <v>85</v>
      </c>
      <c r="O12" s="205"/>
      <c r="P12" s="6"/>
      <c r="Q12" s="6"/>
      <c r="R12" s="266"/>
      <c r="X12" s="41" t="s">
        <v>106</v>
      </c>
    </row>
    <row r="13" spans="1:147" s="3" customFormat="1" x14ac:dyDescent="0.3">
      <c r="A13" s="12" t="s">
        <v>54</v>
      </c>
      <c r="B13" s="12" t="s">
        <v>55</v>
      </c>
      <c r="C13" s="12" t="s">
        <v>96</v>
      </c>
      <c r="D13" s="13" t="s">
        <v>56</v>
      </c>
      <c r="E13" s="13" t="s">
        <v>57</v>
      </c>
      <c r="F13" s="13" t="s">
        <v>7</v>
      </c>
      <c r="G13" s="13" t="s">
        <v>20</v>
      </c>
      <c r="H13" s="119" t="s">
        <v>83</v>
      </c>
      <c r="I13" s="35" t="s">
        <v>10</v>
      </c>
      <c r="J13" s="13" t="s">
        <v>58</v>
      </c>
      <c r="K13" s="206" t="s">
        <v>59</v>
      </c>
      <c r="L13" s="217" t="s">
        <v>31</v>
      </c>
      <c r="M13" s="13" t="s">
        <v>21</v>
      </c>
      <c r="N13" s="35" t="s">
        <v>22</v>
      </c>
      <c r="O13" s="217" t="s">
        <v>60</v>
      </c>
      <c r="P13" s="13" t="s">
        <v>32</v>
      </c>
      <c r="Q13" s="13" t="s">
        <v>23</v>
      </c>
      <c r="R13" s="267" t="s">
        <v>239</v>
      </c>
      <c r="T13" s="237"/>
      <c r="U13" s="237"/>
      <c r="V13" s="237"/>
      <c r="W13" s="237"/>
      <c r="X13" s="41" t="s">
        <v>143</v>
      </c>
      <c r="Y13" s="237"/>
      <c r="Z13" s="237"/>
      <c r="AA13" s="237"/>
      <c r="AB13" s="237"/>
      <c r="AC13" s="237"/>
      <c r="AD13" s="237"/>
      <c r="AE13" s="237"/>
      <c r="AF13" s="237"/>
      <c r="AG13" s="237"/>
      <c r="AH13" s="237"/>
      <c r="AI13" s="237"/>
      <c r="AJ13" s="237"/>
      <c r="AK13" s="237"/>
      <c r="AL13" s="237"/>
      <c r="AM13" s="237"/>
      <c r="AN13" s="237"/>
      <c r="AO13" s="237"/>
      <c r="AP13" s="237"/>
      <c r="AQ13" s="237"/>
      <c r="AR13" s="237"/>
      <c r="AS13" s="237"/>
      <c r="AT13" s="237"/>
      <c r="AU13" s="237"/>
      <c r="AV13" s="237"/>
      <c r="AW13" s="237"/>
      <c r="AX13" s="237"/>
      <c r="AY13" s="237"/>
      <c r="AZ13" s="237"/>
      <c r="BA13" s="237"/>
      <c r="BB13" s="237"/>
      <c r="BC13" s="237"/>
      <c r="BD13" s="237"/>
      <c r="BE13" s="237"/>
      <c r="BF13" s="237"/>
      <c r="BG13" s="237"/>
      <c r="BH13" s="237"/>
      <c r="BI13" s="237"/>
      <c r="BJ13" s="237"/>
      <c r="BK13" s="237"/>
      <c r="BL13" s="237"/>
      <c r="BM13" s="237"/>
      <c r="BN13" s="237"/>
      <c r="BO13" s="237"/>
      <c r="BP13" s="237"/>
      <c r="BQ13" s="237"/>
      <c r="BR13" s="237"/>
      <c r="BS13" s="237"/>
      <c r="BT13" s="237"/>
      <c r="BU13" s="237"/>
      <c r="BV13" s="237"/>
      <c r="BW13" s="237"/>
      <c r="BX13" s="237"/>
      <c r="BY13" s="237"/>
      <c r="BZ13" s="237"/>
      <c r="CA13" s="237"/>
      <c r="CB13" s="237"/>
      <c r="CC13" s="237"/>
      <c r="CD13" s="237"/>
      <c r="CE13" s="237"/>
      <c r="CF13" s="237"/>
      <c r="CG13" s="237"/>
      <c r="CH13" s="237"/>
      <c r="CI13" s="237"/>
      <c r="CJ13" s="237"/>
      <c r="CK13" s="237"/>
      <c r="CL13" s="237"/>
      <c r="CM13" s="237"/>
      <c r="CN13" s="237"/>
      <c r="CO13" s="237"/>
      <c r="CP13" s="237"/>
      <c r="CQ13" s="237"/>
      <c r="CR13" s="237"/>
      <c r="CS13" s="237"/>
      <c r="CT13" s="237"/>
      <c r="CU13" s="237"/>
      <c r="CV13" s="237"/>
      <c r="CW13" s="237"/>
      <c r="CX13" s="237"/>
      <c r="CY13" s="237"/>
      <c r="CZ13" s="237"/>
      <c r="DA13" s="237"/>
      <c r="DB13" s="237"/>
      <c r="DC13" s="237"/>
      <c r="DD13" s="237"/>
      <c r="DE13" s="237"/>
      <c r="DF13" s="237"/>
      <c r="DG13" s="237"/>
      <c r="DH13" s="237"/>
      <c r="DI13" s="237"/>
      <c r="DJ13" s="237"/>
      <c r="DK13" s="237"/>
      <c r="DL13" s="237"/>
      <c r="DM13" s="237"/>
      <c r="DN13" s="237"/>
      <c r="DO13" s="237"/>
      <c r="DP13" s="237"/>
      <c r="DQ13" s="237"/>
      <c r="DR13" s="237"/>
      <c r="DS13" s="237"/>
      <c r="DT13" s="237"/>
      <c r="DU13" s="237"/>
      <c r="DV13" s="237"/>
      <c r="DW13" s="237"/>
      <c r="DX13" s="237"/>
      <c r="DY13" s="237"/>
      <c r="DZ13" s="237"/>
      <c r="EA13" s="237"/>
      <c r="EB13" s="237"/>
      <c r="EC13" s="237"/>
      <c r="ED13" s="237"/>
      <c r="EE13" s="237"/>
      <c r="EF13" s="237"/>
      <c r="EG13" s="237"/>
      <c r="EH13" s="237"/>
      <c r="EI13" s="237"/>
      <c r="EJ13" s="237"/>
      <c r="EK13" s="237"/>
      <c r="EL13" s="237"/>
      <c r="EM13" s="237"/>
      <c r="EN13" s="237"/>
      <c r="EO13" s="237"/>
      <c r="EP13" s="237"/>
      <c r="EQ13" s="237"/>
    </row>
    <row r="14" spans="1:147" outlineLevel="1" x14ac:dyDescent="0.3">
      <c r="A14" s="160" t="s">
        <v>99</v>
      </c>
      <c r="B14" s="160"/>
      <c r="C14" s="87"/>
      <c r="D14" s="161">
        <v>42737</v>
      </c>
      <c r="E14" s="161">
        <v>42737</v>
      </c>
      <c r="F14" s="162"/>
      <c r="G14" s="163">
        <f t="shared" ref="G14:G46" si="0">IF(ISBLANK(A14),"",NETWORKDAYS(D14,E14)*F14)</f>
        <v>0</v>
      </c>
      <c r="H14" s="164">
        <f t="shared" ref="H14:H46" si="1">IF(ISBLANK(A14),"",G14*$B$9)</f>
        <v>0</v>
      </c>
      <c r="I14" s="176">
        <f>IF(ISBLANK(A14),"",VLOOKUP(A14,gsrates!$A$3:$AK$38,VLOOKUP($B$5,gsrates!$A$41:$C$58,2,FALSE),FALSE))</f>
        <v>330</v>
      </c>
      <c r="J14" s="80">
        <f t="shared" ref="J14:J46" si="2">IF(ISBLANK(A14),"",H14*I14)</f>
        <v>0</v>
      </c>
      <c r="K14" s="207">
        <f>IF(ISBLANK(A14),"",VLOOKUP(A14,gsrates!$A$3:$AK$38,VLOOKUP($B$5,gsrates!$A$41:$C$58,3,FALSE),FALSE))</f>
        <v>162</v>
      </c>
      <c r="L14" s="207">
        <f t="shared" ref="L14:L46" si="3">IF(ISBLANK(A14),"",K14*G14*8)</f>
        <v>0</v>
      </c>
      <c r="M14" s="80">
        <f t="shared" ref="M14:M46" si="4">IF(ISBLANK(A14),"",J14-L14)</f>
        <v>0</v>
      </c>
      <c r="N14" s="177">
        <v>0</v>
      </c>
      <c r="O14" s="207">
        <f t="shared" ref="O14:O46" si="5">IF(ISBLANK(A14),"",G14*N14*$B$9)</f>
        <v>0</v>
      </c>
      <c r="P14" s="80">
        <f t="shared" ref="P14:P46" si="6">IF(ISBLANK(A14),"",O14-L14)</f>
        <v>0</v>
      </c>
      <c r="Q14" s="155" t="e">
        <f t="shared" ref="Q14:Q46" si="7">IF(ISBLANK(A14),"",P14/O14)</f>
        <v>#DIV/0!</v>
      </c>
      <c r="R14" s="268" t="str">
        <f>IF(H14&gt;0,1-O14/J14,"")</f>
        <v/>
      </c>
      <c r="S14" s="41"/>
      <c r="T14" s="41" t="str">
        <f t="shared" ref="T14:T46" si="8">IF(ISBLANK(A14),"",CONCATENATE(C14,"-",$B$5))</f>
        <v>-NA</v>
      </c>
      <c r="X14" s="41" t="s">
        <v>162</v>
      </c>
    </row>
    <row r="15" spans="1:147" outlineLevel="1" x14ac:dyDescent="0.3">
      <c r="A15" s="160" t="s">
        <v>100</v>
      </c>
      <c r="B15" s="160"/>
      <c r="C15" s="87"/>
      <c r="D15" s="161">
        <v>42737</v>
      </c>
      <c r="E15" s="161">
        <v>42737</v>
      </c>
      <c r="F15" s="162"/>
      <c r="G15" s="163">
        <f t="shared" si="0"/>
        <v>0</v>
      </c>
      <c r="H15" s="164">
        <f t="shared" si="1"/>
        <v>0</v>
      </c>
      <c r="I15" s="176">
        <f>IF(ISBLANK(A15),"",VLOOKUP(A15,gsrates!$A$3:$AK$38,VLOOKUP($B$5,gsrates!$A$41:$C$58,2,FALSE),FALSE))</f>
        <v>305</v>
      </c>
      <c r="J15" s="80">
        <f t="shared" si="2"/>
        <v>0</v>
      </c>
      <c r="K15" s="207">
        <f>IF(ISBLANK(A15),"",VLOOKUP(A15,gsrates!$A$3:$AK$38,VLOOKUP($B$5,gsrates!$A$41:$C$58,3,FALSE),FALSE))</f>
        <v>139</v>
      </c>
      <c r="L15" s="207">
        <f t="shared" si="3"/>
        <v>0</v>
      </c>
      <c r="M15" s="80">
        <f t="shared" si="4"/>
        <v>0</v>
      </c>
      <c r="N15" s="177">
        <v>0</v>
      </c>
      <c r="O15" s="207">
        <f t="shared" si="5"/>
        <v>0</v>
      </c>
      <c r="P15" s="80">
        <f t="shared" si="6"/>
        <v>0</v>
      </c>
      <c r="Q15" s="155" t="e">
        <f t="shared" si="7"/>
        <v>#DIV/0!</v>
      </c>
      <c r="R15" s="268" t="str">
        <f t="shared" ref="R15:R45" si="9">IF(H15&gt;0,1-O15/J15,"")</f>
        <v/>
      </c>
      <c r="S15" s="41"/>
      <c r="T15" s="41" t="str">
        <f t="shared" si="8"/>
        <v>-NA</v>
      </c>
    </row>
    <row r="16" spans="1:147" outlineLevel="1" x14ac:dyDescent="0.3">
      <c r="A16" s="160" t="s">
        <v>169</v>
      </c>
      <c r="B16" s="160"/>
      <c r="C16" s="87"/>
      <c r="D16" s="161">
        <v>42737</v>
      </c>
      <c r="E16" s="161">
        <v>42737</v>
      </c>
      <c r="F16" s="162"/>
      <c r="G16" s="163">
        <f t="shared" si="0"/>
        <v>0</v>
      </c>
      <c r="H16" s="164">
        <f t="shared" si="1"/>
        <v>0</v>
      </c>
      <c r="I16" s="176">
        <f>IF(ISBLANK(A16),"",VLOOKUP(A16,gsrates!$A$3:$AK$38,VLOOKUP($B$5,gsrates!$A$41:$C$58,2,FALSE),FALSE))</f>
        <v>310</v>
      </c>
      <c r="J16" s="80">
        <f t="shared" si="2"/>
        <v>0</v>
      </c>
      <c r="K16" s="207">
        <f>IF(ISBLANK(A16),"",VLOOKUP(A16,gsrates!$A$3:$AK$38,VLOOKUP($B$5,gsrates!$A$41:$C$58,3,FALSE),FALSE))</f>
        <v>129</v>
      </c>
      <c r="L16" s="207">
        <f t="shared" si="3"/>
        <v>0</v>
      </c>
      <c r="M16" s="80">
        <f t="shared" si="4"/>
        <v>0</v>
      </c>
      <c r="N16" s="177">
        <v>0</v>
      </c>
      <c r="O16" s="207">
        <f t="shared" si="5"/>
        <v>0</v>
      </c>
      <c r="P16" s="80">
        <f t="shared" si="6"/>
        <v>0</v>
      </c>
      <c r="Q16" s="155" t="e">
        <f t="shared" si="7"/>
        <v>#DIV/0!</v>
      </c>
      <c r="R16" s="268" t="str">
        <f t="shared" si="9"/>
        <v/>
      </c>
      <c r="S16" s="41"/>
      <c r="T16" s="41" t="str">
        <f t="shared" si="8"/>
        <v>-NA</v>
      </c>
    </row>
    <row r="17" spans="1:20" outlineLevel="1" x14ac:dyDescent="0.3">
      <c r="A17" s="160" t="s">
        <v>228</v>
      </c>
      <c r="B17" s="160"/>
      <c r="C17" s="87"/>
      <c r="D17" s="161">
        <v>42737</v>
      </c>
      <c r="E17" s="161">
        <v>42737</v>
      </c>
      <c r="F17" s="162"/>
      <c r="G17" s="163">
        <f t="shared" si="0"/>
        <v>0</v>
      </c>
      <c r="H17" s="164">
        <f t="shared" si="1"/>
        <v>0</v>
      </c>
      <c r="I17" s="176">
        <f>IF(ISBLANK(A17),"",VLOOKUP(A17,gsrates!$A$3:$AK$38,VLOOKUP($B$5,gsrates!$A$41:$C$58,2,FALSE),FALSE))</f>
        <v>310</v>
      </c>
      <c r="J17" s="80">
        <f t="shared" si="2"/>
        <v>0</v>
      </c>
      <c r="K17" s="207">
        <f>IF(ISBLANK(A17),"",VLOOKUP(A17,gsrates!$A$3:$AK$38,VLOOKUP($B$5,gsrates!$A$41:$C$58,3,FALSE),FALSE))</f>
        <v>168</v>
      </c>
      <c r="L17" s="207">
        <f t="shared" si="3"/>
        <v>0</v>
      </c>
      <c r="M17" s="80">
        <f t="shared" si="4"/>
        <v>0</v>
      </c>
      <c r="N17" s="177">
        <v>0</v>
      </c>
      <c r="O17" s="207">
        <f t="shared" si="5"/>
        <v>0</v>
      </c>
      <c r="P17" s="80">
        <f t="shared" si="6"/>
        <v>0</v>
      </c>
      <c r="Q17" s="155" t="e">
        <f t="shared" si="7"/>
        <v>#DIV/0!</v>
      </c>
      <c r="R17" s="268" t="str">
        <f t="shared" si="9"/>
        <v/>
      </c>
      <c r="S17" s="41"/>
      <c r="T17" s="41" t="str">
        <f t="shared" si="8"/>
        <v>-NA</v>
      </c>
    </row>
    <row r="18" spans="1:20" outlineLevel="1" x14ac:dyDescent="0.3">
      <c r="A18" s="160" t="s">
        <v>101</v>
      </c>
      <c r="B18" s="160"/>
      <c r="C18" s="87"/>
      <c r="D18" s="161">
        <v>42737</v>
      </c>
      <c r="E18" s="161">
        <v>42737</v>
      </c>
      <c r="F18" s="162"/>
      <c r="G18" s="163">
        <f t="shared" si="0"/>
        <v>0</v>
      </c>
      <c r="H18" s="164">
        <f t="shared" si="1"/>
        <v>0</v>
      </c>
      <c r="I18" s="176">
        <f>IF(ISBLANK(A18),"",VLOOKUP(A18,gsrates!$A$3:$AK$38,VLOOKUP($B$5,gsrates!$A$41:$C$58,2,FALSE),FALSE))</f>
        <v>305</v>
      </c>
      <c r="J18" s="80">
        <f t="shared" si="2"/>
        <v>0</v>
      </c>
      <c r="K18" s="207">
        <f>IF(ISBLANK(A18),"",VLOOKUP(A18,gsrates!$A$3:$AK$38,VLOOKUP($B$5,gsrates!$A$41:$C$58,3,FALSE),FALSE))</f>
        <v>114</v>
      </c>
      <c r="L18" s="207">
        <f t="shared" si="3"/>
        <v>0</v>
      </c>
      <c r="M18" s="80">
        <f t="shared" si="4"/>
        <v>0</v>
      </c>
      <c r="N18" s="177">
        <v>0</v>
      </c>
      <c r="O18" s="207">
        <f t="shared" si="5"/>
        <v>0</v>
      </c>
      <c r="P18" s="80">
        <f t="shared" si="6"/>
        <v>0</v>
      </c>
      <c r="Q18" s="155" t="e">
        <f t="shared" si="7"/>
        <v>#DIV/0!</v>
      </c>
      <c r="R18" s="268" t="str">
        <f t="shared" si="9"/>
        <v/>
      </c>
      <c r="S18" s="41"/>
      <c r="T18" s="41" t="str">
        <f t="shared" si="8"/>
        <v>-NA</v>
      </c>
    </row>
    <row r="19" spans="1:20" outlineLevel="1" x14ac:dyDescent="0.3">
      <c r="A19" s="160" t="s">
        <v>179</v>
      </c>
      <c r="B19" s="160"/>
      <c r="C19" s="87"/>
      <c r="D19" s="161">
        <v>42737</v>
      </c>
      <c r="E19" s="161">
        <v>42737</v>
      </c>
      <c r="F19" s="162"/>
      <c r="G19" s="163">
        <f t="shared" si="0"/>
        <v>0</v>
      </c>
      <c r="H19" s="164">
        <f t="shared" si="1"/>
        <v>0</v>
      </c>
      <c r="I19" s="176">
        <f>IF(ISBLANK(A19),"",VLOOKUP(A19,gsrates!$A$3:$AK$38,VLOOKUP($B$5,gsrates!$A$41:$C$58,2,FALSE),FALSE))</f>
        <v>305</v>
      </c>
      <c r="J19" s="80">
        <f t="shared" si="2"/>
        <v>0</v>
      </c>
      <c r="K19" s="207">
        <f>IF(ISBLANK(A19),"",VLOOKUP(A19,gsrates!$A$3:$AK$38,VLOOKUP($B$5,gsrates!$A$41:$C$58,3,FALSE),FALSE))</f>
        <v>125</v>
      </c>
      <c r="L19" s="207">
        <f t="shared" si="3"/>
        <v>0</v>
      </c>
      <c r="M19" s="80">
        <f t="shared" si="4"/>
        <v>0</v>
      </c>
      <c r="N19" s="177">
        <v>0</v>
      </c>
      <c r="O19" s="207">
        <f t="shared" si="5"/>
        <v>0</v>
      </c>
      <c r="P19" s="80">
        <f t="shared" si="6"/>
        <v>0</v>
      </c>
      <c r="Q19" s="155" t="e">
        <f t="shared" si="7"/>
        <v>#DIV/0!</v>
      </c>
      <c r="R19" s="268" t="str">
        <f t="shared" si="9"/>
        <v/>
      </c>
      <c r="S19" s="41"/>
      <c r="T19" s="41" t="str">
        <f t="shared" si="8"/>
        <v>-NA</v>
      </c>
    </row>
    <row r="20" spans="1:20" outlineLevel="1" x14ac:dyDescent="0.3">
      <c r="A20" s="160" t="s">
        <v>102</v>
      </c>
      <c r="B20" s="160"/>
      <c r="C20" s="87"/>
      <c r="D20" s="161">
        <v>42737</v>
      </c>
      <c r="E20" s="161">
        <v>42737</v>
      </c>
      <c r="F20" s="162"/>
      <c r="G20" s="163">
        <f t="shared" si="0"/>
        <v>0</v>
      </c>
      <c r="H20" s="164">
        <f t="shared" si="1"/>
        <v>0</v>
      </c>
      <c r="I20" s="176">
        <f>IF(ISBLANK(A20),"",VLOOKUP(A20,gsrates!$A$3:$AK$38,VLOOKUP($B$5,gsrates!$A$41:$C$58,2,FALSE),FALSE))</f>
        <v>275</v>
      </c>
      <c r="J20" s="80">
        <f t="shared" si="2"/>
        <v>0</v>
      </c>
      <c r="K20" s="207">
        <f>IF(ISBLANK(A20),"",VLOOKUP(A20,gsrates!$A$3:$AK$38,VLOOKUP($B$5,gsrates!$A$41:$C$58,3,FALSE),FALSE))</f>
        <v>103</v>
      </c>
      <c r="L20" s="207">
        <f t="shared" si="3"/>
        <v>0</v>
      </c>
      <c r="M20" s="80">
        <f t="shared" si="4"/>
        <v>0</v>
      </c>
      <c r="N20" s="177">
        <v>0</v>
      </c>
      <c r="O20" s="207">
        <f t="shared" si="5"/>
        <v>0</v>
      </c>
      <c r="P20" s="80">
        <f t="shared" si="6"/>
        <v>0</v>
      </c>
      <c r="Q20" s="155" t="e">
        <f t="shared" si="7"/>
        <v>#DIV/0!</v>
      </c>
      <c r="R20" s="268" t="str">
        <f t="shared" si="9"/>
        <v/>
      </c>
      <c r="S20" s="41"/>
      <c r="T20" s="41" t="str">
        <f t="shared" si="8"/>
        <v>-NA</v>
      </c>
    </row>
    <row r="21" spans="1:20" outlineLevel="1" x14ac:dyDescent="0.3">
      <c r="A21" s="160" t="s">
        <v>180</v>
      </c>
      <c r="B21" s="160"/>
      <c r="C21" s="87"/>
      <c r="D21" s="161">
        <v>42737</v>
      </c>
      <c r="E21" s="161">
        <v>42737</v>
      </c>
      <c r="F21" s="162"/>
      <c r="G21" s="163">
        <f t="shared" ref="G21:G24" si="10">IF(ISBLANK(A21),"",NETWORKDAYS(D21,E21)*F21)</f>
        <v>0</v>
      </c>
      <c r="H21" s="164">
        <f t="shared" ref="H21:H24" si="11">IF(ISBLANK(A21),"",G21*$B$9)</f>
        <v>0</v>
      </c>
      <c r="I21" s="176">
        <f>IF(ISBLANK(A21),"",VLOOKUP(A21,gsrates!$A$3:$AK$38,VLOOKUP($B$5,gsrates!$A$41:$C$58,2,FALSE),FALSE))</f>
        <v>275</v>
      </c>
      <c r="J21" s="80">
        <f t="shared" ref="J21:J24" si="12">IF(ISBLANK(A21),"",H21*I21)</f>
        <v>0</v>
      </c>
      <c r="K21" s="207">
        <f>IF(ISBLANK(A21),"",VLOOKUP(A21,gsrates!$A$3:$AK$38,VLOOKUP($B$5,gsrates!$A$41:$C$58,3,FALSE),FALSE))</f>
        <v>87</v>
      </c>
      <c r="L21" s="207">
        <f t="shared" ref="L21:L24" si="13">IF(ISBLANK(A21),"",K21*G21*8)</f>
        <v>0</v>
      </c>
      <c r="M21" s="80">
        <f t="shared" ref="M21:M24" si="14">IF(ISBLANK(A21),"",J21-L21)</f>
        <v>0</v>
      </c>
      <c r="N21" s="177">
        <v>0</v>
      </c>
      <c r="O21" s="207">
        <f t="shared" ref="O21:O24" si="15">IF(ISBLANK(A21),"",G21*N21*$B$9)</f>
        <v>0</v>
      </c>
      <c r="P21" s="80">
        <f t="shared" ref="P21:P24" si="16">IF(ISBLANK(A21),"",O21-L21)</f>
        <v>0</v>
      </c>
      <c r="Q21" s="155" t="e">
        <f t="shared" ref="Q21:Q24" si="17">IF(ISBLANK(A21),"",P21/O21)</f>
        <v>#DIV/0!</v>
      </c>
      <c r="R21" s="268" t="str">
        <f t="shared" si="9"/>
        <v/>
      </c>
      <c r="S21" s="41"/>
      <c r="T21" s="41" t="str">
        <f t="shared" ref="T21:T24" si="18">IF(ISBLANK(A21),"",CONCATENATE(C21,"-",$B$5))</f>
        <v>-NA</v>
      </c>
    </row>
    <row r="22" spans="1:20" outlineLevel="1" x14ac:dyDescent="0.3">
      <c r="A22" s="160" t="s">
        <v>103</v>
      </c>
      <c r="B22" s="160"/>
      <c r="C22" s="87"/>
      <c r="D22" s="161">
        <v>42737</v>
      </c>
      <c r="E22" s="161">
        <v>42737</v>
      </c>
      <c r="F22" s="162"/>
      <c r="G22" s="163">
        <f t="shared" si="10"/>
        <v>0</v>
      </c>
      <c r="H22" s="164">
        <f t="shared" si="11"/>
        <v>0</v>
      </c>
      <c r="I22" s="176">
        <f>IF(ISBLANK(A22),"",VLOOKUP(A22,gsrates!$A$3:$AK$38,VLOOKUP($B$5,gsrates!$A$41:$C$58,2,FALSE),FALSE))</f>
        <v>245</v>
      </c>
      <c r="J22" s="80">
        <f t="shared" si="12"/>
        <v>0</v>
      </c>
      <c r="K22" s="207">
        <f>IF(ISBLANK(A22),"",VLOOKUP(A22,gsrates!$A$3:$AK$38,VLOOKUP($B$5,gsrates!$A$41:$C$58,3,FALSE),FALSE))</f>
        <v>69</v>
      </c>
      <c r="L22" s="207">
        <f t="shared" si="13"/>
        <v>0</v>
      </c>
      <c r="M22" s="80">
        <f t="shared" si="14"/>
        <v>0</v>
      </c>
      <c r="N22" s="177">
        <v>0</v>
      </c>
      <c r="O22" s="207">
        <f t="shared" si="15"/>
        <v>0</v>
      </c>
      <c r="P22" s="80">
        <f t="shared" si="16"/>
        <v>0</v>
      </c>
      <c r="Q22" s="155" t="e">
        <f t="shared" si="17"/>
        <v>#DIV/0!</v>
      </c>
      <c r="R22" s="268" t="str">
        <f t="shared" si="9"/>
        <v/>
      </c>
      <c r="S22" s="41"/>
      <c r="T22" s="41" t="str">
        <f t="shared" si="18"/>
        <v>-NA</v>
      </c>
    </row>
    <row r="23" spans="1:20" outlineLevel="1" x14ac:dyDescent="0.3">
      <c r="A23" s="160" t="s">
        <v>170</v>
      </c>
      <c r="B23" s="160"/>
      <c r="C23" s="87"/>
      <c r="D23" s="161">
        <v>42737</v>
      </c>
      <c r="E23" s="161">
        <v>42737</v>
      </c>
      <c r="F23" s="162"/>
      <c r="G23" s="163">
        <f t="shared" si="10"/>
        <v>0</v>
      </c>
      <c r="H23" s="164">
        <f t="shared" si="11"/>
        <v>0</v>
      </c>
      <c r="I23" s="176">
        <f>IF(ISBLANK(A23),"",VLOOKUP(A23,gsrates!$A$3:$AK$38,VLOOKUP($B$5,gsrates!$A$41:$C$58,2,FALSE),FALSE))</f>
        <v>310</v>
      </c>
      <c r="J23" s="80">
        <f t="shared" si="12"/>
        <v>0</v>
      </c>
      <c r="K23" s="207">
        <f>IF(ISBLANK(A23),"",VLOOKUP(A23,gsrates!$A$3:$AK$38,VLOOKUP($B$5,gsrates!$A$41:$C$58,3,FALSE),FALSE))</f>
        <v>121</v>
      </c>
      <c r="L23" s="207">
        <f t="shared" si="13"/>
        <v>0</v>
      </c>
      <c r="M23" s="80">
        <f t="shared" si="14"/>
        <v>0</v>
      </c>
      <c r="N23" s="177">
        <v>0</v>
      </c>
      <c r="O23" s="207">
        <f t="shared" si="15"/>
        <v>0</v>
      </c>
      <c r="P23" s="80">
        <f t="shared" si="16"/>
        <v>0</v>
      </c>
      <c r="Q23" s="155" t="e">
        <f t="shared" si="17"/>
        <v>#DIV/0!</v>
      </c>
      <c r="R23" s="268" t="str">
        <f t="shared" si="9"/>
        <v/>
      </c>
      <c r="S23" s="41"/>
      <c r="T23" s="41" t="str">
        <f t="shared" si="18"/>
        <v>-NA</v>
      </c>
    </row>
    <row r="24" spans="1:20" outlineLevel="1" x14ac:dyDescent="0.3">
      <c r="A24" s="160" t="s">
        <v>104</v>
      </c>
      <c r="B24" s="160"/>
      <c r="C24" s="87"/>
      <c r="D24" s="161">
        <v>42737</v>
      </c>
      <c r="E24" s="161">
        <v>42737</v>
      </c>
      <c r="F24" s="162"/>
      <c r="G24" s="163">
        <f t="shared" si="10"/>
        <v>0</v>
      </c>
      <c r="H24" s="164">
        <f t="shared" si="11"/>
        <v>0</v>
      </c>
      <c r="I24" s="176">
        <f>IF(ISBLANK(A24),"",VLOOKUP(A24,gsrates!$A$3:$AK$38,VLOOKUP($B$5,gsrates!$A$41:$C$58,2,FALSE),FALSE))</f>
        <v>305</v>
      </c>
      <c r="J24" s="80">
        <f t="shared" si="12"/>
        <v>0</v>
      </c>
      <c r="K24" s="207">
        <f>IF(ISBLANK(A24),"",VLOOKUP(A24,gsrates!$A$3:$AK$38,VLOOKUP($B$5,gsrates!$A$41:$C$58,3,FALSE),FALSE))</f>
        <v>109</v>
      </c>
      <c r="L24" s="207">
        <f t="shared" si="13"/>
        <v>0</v>
      </c>
      <c r="M24" s="80">
        <f t="shared" si="14"/>
        <v>0</v>
      </c>
      <c r="N24" s="177">
        <v>0</v>
      </c>
      <c r="O24" s="207">
        <f t="shared" si="15"/>
        <v>0</v>
      </c>
      <c r="P24" s="80">
        <f t="shared" si="16"/>
        <v>0</v>
      </c>
      <c r="Q24" s="155" t="e">
        <f t="shared" si="17"/>
        <v>#DIV/0!</v>
      </c>
      <c r="R24" s="268" t="str">
        <f t="shared" si="9"/>
        <v/>
      </c>
      <c r="S24" s="41"/>
      <c r="T24" s="41" t="str">
        <f t="shared" si="18"/>
        <v>-NA</v>
      </c>
    </row>
    <row r="25" spans="1:20" outlineLevel="1" x14ac:dyDescent="0.3">
      <c r="A25" s="160" t="s">
        <v>105</v>
      </c>
      <c r="B25" s="160"/>
      <c r="C25" s="87"/>
      <c r="D25" s="161">
        <v>42737</v>
      </c>
      <c r="E25" s="161">
        <v>42737</v>
      </c>
      <c r="F25" s="162"/>
      <c r="G25" s="163">
        <f t="shared" ref="G25" si="19">IF(ISBLANK(A25),"",NETWORKDAYS(D25,E25)*F25)</f>
        <v>0</v>
      </c>
      <c r="H25" s="164">
        <f t="shared" ref="H25" si="20">IF(ISBLANK(A25),"",G25*$B$9)</f>
        <v>0</v>
      </c>
      <c r="I25" s="176">
        <f>IF(ISBLANK(A25),"",VLOOKUP(A25,gsrates!$A$3:$AK$38,VLOOKUP($B$5,gsrates!$A$41:$C$58,2,FALSE),FALSE))</f>
        <v>275</v>
      </c>
      <c r="J25" s="80">
        <f t="shared" ref="J25" si="21">IF(ISBLANK(A25),"",H25*I25)</f>
        <v>0</v>
      </c>
      <c r="K25" s="207">
        <f>IF(ISBLANK(A25),"",VLOOKUP(A25,gsrates!$A$3:$AK$38,VLOOKUP($B$5,gsrates!$A$41:$C$58,3,FALSE),FALSE))</f>
        <v>97</v>
      </c>
      <c r="L25" s="207">
        <f t="shared" ref="L25" si="22">IF(ISBLANK(A25),"",K25*G25*8)</f>
        <v>0</v>
      </c>
      <c r="M25" s="80">
        <f t="shared" ref="M25" si="23">IF(ISBLANK(A25),"",J25-L25)</f>
        <v>0</v>
      </c>
      <c r="N25" s="177">
        <v>0</v>
      </c>
      <c r="O25" s="207">
        <f t="shared" ref="O25" si="24">IF(ISBLANK(A25),"",G25*N25*$B$9)</f>
        <v>0</v>
      </c>
      <c r="P25" s="80">
        <f t="shared" ref="P25" si="25">IF(ISBLANK(A25),"",O25-L25)</f>
        <v>0</v>
      </c>
      <c r="Q25" s="155" t="e">
        <f t="shared" ref="Q25" si="26">IF(ISBLANK(A25),"",P25/O25)</f>
        <v>#DIV/0!</v>
      </c>
      <c r="R25" s="268" t="str">
        <f t="shared" si="9"/>
        <v/>
      </c>
      <c r="S25" s="41"/>
      <c r="T25" s="41" t="str">
        <f t="shared" ref="T25" si="27">IF(ISBLANK(A25),"",CONCATENATE(C25,"-",$B$5))</f>
        <v>-NA</v>
      </c>
    </row>
    <row r="26" spans="1:20" outlineLevel="1" x14ac:dyDescent="0.3">
      <c r="A26" s="160" t="s">
        <v>106</v>
      </c>
      <c r="B26" s="160"/>
      <c r="C26" s="87"/>
      <c r="D26" s="161">
        <v>42737</v>
      </c>
      <c r="E26" s="161">
        <v>42737</v>
      </c>
      <c r="F26" s="162"/>
      <c r="G26" s="163">
        <f t="shared" ref="G26" si="28">IF(ISBLANK(A26),"",NETWORKDAYS(D26,E26)*F26)</f>
        <v>0</v>
      </c>
      <c r="H26" s="164">
        <f t="shared" ref="H26" si="29">IF(ISBLANK(A26),"",G26*$B$9)</f>
        <v>0</v>
      </c>
      <c r="I26" s="176">
        <f>IF(ISBLANK(A26),"",VLOOKUP(A26,gsrates!$A$3:$AK$38,VLOOKUP($B$5,gsrates!$A$41:$C$58,2,FALSE),FALSE))</f>
        <v>245</v>
      </c>
      <c r="J26" s="80">
        <f t="shared" ref="J26" si="30">IF(ISBLANK(A26),"",H26*I26)</f>
        <v>0</v>
      </c>
      <c r="K26" s="207">
        <f>IF(ISBLANK(A26),"",VLOOKUP(A26,gsrates!$A$3:$AK$38,VLOOKUP($B$5,gsrates!$A$41:$C$58,3,FALSE),FALSE))</f>
        <v>65</v>
      </c>
      <c r="L26" s="207">
        <f t="shared" ref="L26" si="31">IF(ISBLANK(A26),"",K26*G26*8)</f>
        <v>0</v>
      </c>
      <c r="M26" s="80">
        <f t="shared" ref="M26" si="32">IF(ISBLANK(A26),"",J26-L26)</f>
        <v>0</v>
      </c>
      <c r="N26" s="177">
        <v>0</v>
      </c>
      <c r="O26" s="207">
        <f t="shared" ref="O26" si="33">IF(ISBLANK(A26),"",G26*N26*$B$9)</f>
        <v>0</v>
      </c>
      <c r="P26" s="80">
        <f t="shared" ref="P26" si="34">IF(ISBLANK(A26),"",O26-L26)</f>
        <v>0</v>
      </c>
      <c r="Q26" s="155" t="e">
        <f t="shared" ref="Q26" si="35">IF(ISBLANK(A26),"",P26/O26)</f>
        <v>#DIV/0!</v>
      </c>
      <c r="R26" s="268" t="str">
        <f t="shared" si="9"/>
        <v/>
      </c>
      <c r="S26" s="41"/>
      <c r="T26" s="41" t="str">
        <f t="shared" ref="T26" si="36">IF(ISBLANK(A26),"",CONCATENATE(C26,"-",$B$5))</f>
        <v>-NA</v>
      </c>
    </row>
    <row r="27" spans="1:20" outlineLevel="1" x14ac:dyDescent="0.3">
      <c r="A27" s="160" t="s">
        <v>248</v>
      </c>
      <c r="B27" s="160"/>
      <c r="C27" s="87"/>
      <c r="D27" s="161">
        <v>42737</v>
      </c>
      <c r="E27" s="161">
        <v>42737</v>
      </c>
      <c r="F27" s="162"/>
      <c r="G27" s="163">
        <f t="shared" ref="G27:G28" si="37">IF(ISBLANK(A27),"",NETWORKDAYS(D27,E27)*F27)</f>
        <v>0</v>
      </c>
      <c r="H27" s="164">
        <f t="shared" ref="H27:H28" si="38">IF(ISBLANK(A27),"",G27*$B$9)</f>
        <v>0</v>
      </c>
      <c r="I27" s="176">
        <f>IF(ISBLANK(A27),"",VLOOKUP(A27,gsrates!$A$3:$AK$38,VLOOKUP($B$5,gsrates!$A$41:$C$58,2,FALSE),FALSE))</f>
        <v>305</v>
      </c>
      <c r="J27" s="80">
        <f t="shared" ref="J27:J28" si="39">IF(ISBLANK(A27),"",H27*I27)</f>
        <v>0</v>
      </c>
      <c r="K27" s="207">
        <f>IF(ISBLANK(A27),"",VLOOKUP(A27,gsrates!$A$3:$AK$38,VLOOKUP($B$5,gsrates!$A$41:$C$58,3,FALSE),FALSE))</f>
        <v>109</v>
      </c>
      <c r="L27" s="207">
        <f t="shared" ref="L27:L28" si="40">IF(ISBLANK(A27),"",K27*G27*8)</f>
        <v>0</v>
      </c>
      <c r="M27" s="80">
        <f t="shared" ref="M27:M28" si="41">IF(ISBLANK(A27),"",J27-L27)</f>
        <v>0</v>
      </c>
      <c r="N27" s="177">
        <v>0</v>
      </c>
      <c r="O27" s="207">
        <f t="shared" ref="O27:O28" si="42">IF(ISBLANK(A27),"",G27*N27*$B$9)</f>
        <v>0</v>
      </c>
      <c r="P27" s="80">
        <f t="shared" ref="P27:P28" si="43">IF(ISBLANK(A27),"",O27-L27)</f>
        <v>0</v>
      </c>
      <c r="Q27" s="155" t="e">
        <f t="shared" ref="Q27:Q28" si="44">IF(ISBLANK(A27),"",P27/O27)</f>
        <v>#DIV/0!</v>
      </c>
      <c r="R27" s="268"/>
      <c r="S27" s="41"/>
    </row>
    <row r="28" spans="1:20" outlineLevel="1" x14ac:dyDescent="0.3">
      <c r="A28" s="160" t="s">
        <v>247</v>
      </c>
      <c r="B28" s="160"/>
      <c r="C28" s="87"/>
      <c r="D28" s="161">
        <v>42737</v>
      </c>
      <c r="E28" s="161">
        <v>42737</v>
      </c>
      <c r="F28" s="162"/>
      <c r="G28" s="163">
        <f t="shared" si="37"/>
        <v>0</v>
      </c>
      <c r="H28" s="164">
        <f t="shared" si="38"/>
        <v>0</v>
      </c>
      <c r="I28" s="176">
        <f>IF(ISBLANK(A28),"",VLOOKUP(A28,gsrates!$A$3:$AK$38,VLOOKUP($B$5,gsrates!$A$41:$C$58,2,FALSE),FALSE))</f>
        <v>310</v>
      </c>
      <c r="J28" s="80">
        <f t="shared" si="39"/>
        <v>0</v>
      </c>
      <c r="K28" s="207">
        <f>IF(ISBLANK(A28),"",VLOOKUP(A28,gsrates!$A$3:$AK$38,VLOOKUP($B$5,gsrates!$A$41:$C$58,3,FALSE),FALSE))</f>
        <v>121</v>
      </c>
      <c r="L28" s="207">
        <f t="shared" si="40"/>
        <v>0</v>
      </c>
      <c r="M28" s="80">
        <f t="shared" si="41"/>
        <v>0</v>
      </c>
      <c r="N28" s="177">
        <v>0</v>
      </c>
      <c r="O28" s="207">
        <f t="shared" si="42"/>
        <v>0</v>
      </c>
      <c r="P28" s="80">
        <f t="shared" si="43"/>
        <v>0</v>
      </c>
      <c r="Q28" s="155" t="e">
        <f t="shared" si="44"/>
        <v>#DIV/0!</v>
      </c>
      <c r="R28" s="268"/>
      <c r="S28" s="41"/>
    </row>
    <row r="29" spans="1:20" outlineLevel="1" x14ac:dyDescent="0.3">
      <c r="A29" s="160" t="s">
        <v>143</v>
      </c>
      <c r="B29" s="160"/>
      <c r="C29" s="87"/>
      <c r="D29" s="161">
        <v>42737</v>
      </c>
      <c r="E29" s="161">
        <v>42737</v>
      </c>
      <c r="F29" s="162"/>
      <c r="G29" s="163">
        <f t="shared" si="0"/>
        <v>0</v>
      </c>
      <c r="H29" s="164">
        <f t="shared" si="1"/>
        <v>0</v>
      </c>
      <c r="I29" s="176">
        <f>IF(ISBLANK(A29),"",VLOOKUP(A29,gsrates!$A$3:$AK$38,VLOOKUP($B$5,gsrates!$A$41:$C$58,2,FALSE),FALSE))</f>
        <v>305</v>
      </c>
      <c r="J29" s="80">
        <f t="shared" si="2"/>
        <v>0</v>
      </c>
      <c r="K29" s="207">
        <f>IF(ISBLANK(A29),"",VLOOKUP(A29,gsrates!$A$3:$AK$38,VLOOKUP($B$5,gsrates!$A$41:$C$58,3,FALSE),FALSE))</f>
        <v>106</v>
      </c>
      <c r="L29" s="207">
        <f t="shared" si="3"/>
        <v>0</v>
      </c>
      <c r="M29" s="80">
        <f t="shared" si="4"/>
        <v>0</v>
      </c>
      <c r="N29" s="177">
        <v>0</v>
      </c>
      <c r="O29" s="207">
        <f t="shared" si="5"/>
        <v>0</v>
      </c>
      <c r="P29" s="80">
        <f t="shared" si="6"/>
        <v>0</v>
      </c>
      <c r="Q29" s="155" t="e">
        <f t="shared" si="7"/>
        <v>#DIV/0!</v>
      </c>
      <c r="R29" s="268" t="str">
        <f t="shared" si="9"/>
        <v/>
      </c>
      <c r="S29" s="41"/>
      <c r="T29" s="41" t="str">
        <f t="shared" si="8"/>
        <v>-NA</v>
      </c>
    </row>
    <row r="30" spans="1:20" outlineLevel="1" x14ac:dyDescent="0.3">
      <c r="A30" s="160" t="s">
        <v>249</v>
      </c>
      <c r="B30" s="160"/>
      <c r="C30" s="87"/>
      <c r="D30" s="161">
        <v>42737</v>
      </c>
      <c r="E30" s="161">
        <v>42737</v>
      </c>
      <c r="F30" s="162"/>
      <c r="G30" s="163">
        <f t="shared" si="0"/>
        <v>0</v>
      </c>
      <c r="H30" s="164">
        <f t="shared" si="1"/>
        <v>0</v>
      </c>
      <c r="I30" s="176">
        <f>IF(ISBLANK(A30),"",VLOOKUP(A30,gsrates!$A$3:$AK$38,VLOOKUP($B$5,gsrates!$A$41:$C$58,2,FALSE),FALSE))</f>
        <v>305</v>
      </c>
      <c r="J30" s="80">
        <f t="shared" si="2"/>
        <v>0</v>
      </c>
      <c r="K30" s="207">
        <f>IF(ISBLANK(A30),"",VLOOKUP(A30,gsrates!$A$3:$AK$38,VLOOKUP($B$5,gsrates!$A$41:$C$58,3,FALSE),FALSE))</f>
        <v>106</v>
      </c>
      <c r="L30" s="207">
        <f t="shared" si="3"/>
        <v>0</v>
      </c>
      <c r="M30" s="80">
        <f t="shared" si="4"/>
        <v>0</v>
      </c>
      <c r="N30" s="177">
        <v>0</v>
      </c>
      <c r="O30" s="207">
        <f t="shared" si="5"/>
        <v>0</v>
      </c>
      <c r="P30" s="80">
        <f t="shared" si="6"/>
        <v>0</v>
      </c>
      <c r="Q30" s="155" t="e">
        <f t="shared" si="7"/>
        <v>#DIV/0!</v>
      </c>
      <c r="R30" s="268"/>
      <c r="S30" s="207"/>
    </row>
    <row r="31" spans="1:20" outlineLevel="1" x14ac:dyDescent="0.3">
      <c r="A31" s="160" t="s">
        <v>162</v>
      </c>
      <c r="B31" s="160"/>
      <c r="C31" s="87"/>
      <c r="D31" s="161">
        <v>42737</v>
      </c>
      <c r="E31" s="161">
        <v>42737</v>
      </c>
      <c r="F31" s="162"/>
      <c r="G31" s="163">
        <f t="shared" ref="G31:G44" si="45">IF(ISBLANK(A31),"",NETWORKDAYS(D31,E31)*F31)</f>
        <v>0</v>
      </c>
      <c r="H31" s="164">
        <f t="shared" ref="H31:H44" si="46">IF(ISBLANK(A31),"",G31*$B$9)</f>
        <v>0</v>
      </c>
      <c r="I31" s="176">
        <f>IF(ISBLANK(A31),"",VLOOKUP(A31,gsrates!$A$3:$AK$38,VLOOKUP($B$5,gsrates!$A$41:$C$58,2,FALSE),FALSE))</f>
        <v>305</v>
      </c>
      <c r="J31" s="80">
        <f t="shared" ref="J31:J44" si="47">IF(ISBLANK(A31),"",H31*I31)</f>
        <v>0</v>
      </c>
      <c r="K31" s="207">
        <f>IF(ISBLANK(A31),"",VLOOKUP(A31,gsrates!$A$3:$AK$38,VLOOKUP($B$5,gsrates!$A$41:$C$58,3,FALSE),FALSE))</f>
        <v>125</v>
      </c>
      <c r="L31" s="207">
        <f t="shared" ref="L31:L44" si="48">IF(ISBLANK(A31),"",K31*G31*8)</f>
        <v>0</v>
      </c>
      <c r="M31" s="80">
        <f t="shared" ref="M31:M44" si="49">IF(ISBLANK(A31),"",J31-L31)</f>
        <v>0</v>
      </c>
      <c r="N31" s="177">
        <v>0</v>
      </c>
      <c r="O31" s="207">
        <f t="shared" ref="O31:O44" si="50">IF(ISBLANK(A31),"",G31*N31*$B$9)</f>
        <v>0</v>
      </c>
      <c r="P31" s="80">
        <f t="shared" ref="P31:P44" si="51">IF(ISBLANK(A31),"",O31-L31)</f>
        <v>0</v>
      </c>
      <c r="Q31" s="155" t="e">
        <f t="shared" ref="Q31:Q44" si="52">IF(ISBLANK(A31),"",P31/O31)</f>
        <v>#DIV/0!</v>
      </c>
      <c r="R31" s="268" t="str">
        <f t="shared" si="9"/>
        <v/>
      </c>
      <c r="S31" s="41"/>
    </row>
    <row r="32" spans="1:20" outlineLevel="1" x14ac:dyDescent="0.3">
      <c r="A32" s="160" t="s">
        <v>250</v>
      </c>
      <c r="B32" s="160"/>
      <c r="C32" s="87"/>
      <c r="D32" s="161">
        <v>42737</v>
      </c>
      <c r="E32" s="161">
        <v>42737</v>
      </c>
      <c r="F32" s="162"/>
      <c r="G32" s="163">
        <f t="shared" si="45"/>
        <v>0</v>
      </c>
      <c r="H32" s="164">
        <f t="shared" si="46"/>
        <v>0</v>
      </c>
      <c r="I32" s="176">
        <f>IF(ISBLANK(A32),"",VLOOKUP(A32,gsrates!$A$3:$AK$38,VLOOKUP($B$5,gsrates!$A$41:$C$58,2,FALSE),FALSE))</f>
        <v>305</v>
      </c>
      <c r="J32" s="80">
        <f t="shared" si="47"/>
        <v>0</v>
      </c>
      <c r="K32" s="207">
        <f>IF(ISBLANK(A32),"",VLOOKUP(A32,gsrates!$A$3:$AK$38,VLOOKUP($B$5,gsrates!$A$41:$C$58,3,FALSE),FALSE))</f>
        <v>125</v>
      </c>
      <c r="L32" s="207">
        <f t="shared" si="48"/>
        <v>0</v>
      </c>
      <c r="M32" s="80">
        <f t="shared" si="49"/>
        <v>0</v>
      </c>
      <c r="N32" s="177">
        <v>0</v>
      </c>
      <c r="O32" s="207">
        <f t="shared" si="50"/>
        <v>0</v>
      </c>
      <c r="P32" s="80">
        <f t="shared" si="51"/>
        <v>0</v>
      </c>
      <c r="Q32" s="155" t="e">
        <f t="shared" si="52"/>
        <v>#DIV/0!</v>
      </c>
      <c r="R32" s="268"/>
      <c r="S32" s="41"/>
    </row>
    <row r="33" spans="1:147" outlineLevel="1" x14ac:dyDescent="0.3">
      <c r="A33" s="160" t="s">
        <v>251</v>
      </c>
      <c r="B33" s="160"/>
      <c r="C33" s="87"/>
      <c r="D33" s="161">
        <v>42737</v>
      </c>
      <c r="E33" s="161">
        <v>42737</v>
      </c>
      <c r="F33" s="162"/>
      <c r="G33" s="163">
        <f t="shared" si="45"/>
        <v>0</v>
      </c>
      <c r="H33" s="164">
        <f t="shared" si="46"/>
        <v>0</v>
      </c>
      <c r="I33" s="176">
        <f>IF(ISBLANK(A33),"",VLOOKUP(A33,gsrates!$A$3:$AK$38,VLOOKUP($B$5,gsrates!$A$41:$C$58,2,FALSE),FALSE))</f>
        <v>305</v>
      </c>
      <c r="J33" s="80">
        <f t="shared" si="47"/>
        <v>0</v>
      </c>
      <c r="K33" s="207">
        <f>IF(ISBLANK(A33),"",VLOOKUP(A33,gsrates!$A$3:$AK$38,VLOOKUP($B$5,gsrates!$A$41:$C$58,3,FALSE),FALSE))</f>
        <v>125</v>
      </c>
      <c r="L33" s="207">
        <f t="shared" si="48"/>
        <v>0</v>
      </c>
      <c r="M33" s="80">
        <f t="shared" si="49"/>
        <v>0</v>
      </c>
      <c r="N33" s="177">
        <v>0</v>
      </c>
      <c r="O33" s="207">
        <f t="shared" si="50"/>
        <v>0</v>
      </c>
      <c r="P33" s="80">
        <f t="shared" si="51"/>
        <v>0</v>
      </c>
      <c r="Q33" s="155" t="e">
        <f t="shared" si="52"/>
        <v>#DIV/0!</v>
      </c>
      <c r="R33" s="268"/>
      <c r="S33" s="41"/>
    </row>
    <row r="34" spans="1:147" outlineLevel="1" x14ac:dyDescent="0.3">
      <c r="A34" s="160" t="s">
        <v>206</v>
      </c>
      <c r="B34" s="160"/>
      <c r="C34" s="87"/>
      <c r="D34" s="161">
        <v>42737</v>
      </c>
      <c r="E34" s="161">
        <v>42737</v>
      </c>
      <c r="F34" s="162"/>
      <c r="G34" s="163">
        <f t="shared" si="45"/>
        <v>0</v>
      </c>
      <c r="H34" s="164">
        <f t="shared" si="46"/>
        <v>0</v>
      </c>
      <c r="I34" s="176">
        <f>IF(ISBLANK(A34),"",VLOOKUP(A34,gsrates!$A$3:$AK$38,VLOOKUP($B$5,gsrates!$A$41:$C$58,2,FALSE),FALSE))</f>
        <v>305</v>
      </c>
      <c r="J34" s="80">
        <f t="shared" si="47"/>
        <v>0</v>
      </c>
      <c r="K34" s="207">
        <f>IF(ISBLANK(A34),"",VLOOKUP(A34,gsrates!$A$3:$AK$38,VLOOKUP($B$5,gsrates!$A$41:$C$58,3,FALSE),FALSE))</f>
        <v>38</v>
      </c>
      <c r="L34" s="207">
        <f t="shared" si="48"/>
        <v>0</v>
      </c>
      <c r="M34" s="80">
        <f t="shared" si="49"/>
        <v>0</v>
      </c>
      <c r="N34" s="177">
        <v>0</v>
      </c>
      <c r="O34" s="207">
        <f t="shared" si="50"/>
        <v>0</v>
      </c>
      <c r="P34" s="80">
        <f t="shared" si="51"/>
        <v>0</v>
      </c>
      <c r="Q34" s="155" t="e">
        <f t="shared" si="52"/>
        <v>#DIV/0!</v>
      </c>
      <c r="R34" s="268" t="str">
        <f>IF(H34&gt;0,1-O34/J34,"")</f>
        <v/>
      </c>
      <c r="S34" s="41"/>
    </row>
    <row r="35" spans="1:147" outlineLevel="1" x14ac:dyDescent="0.3">
      <c r="A35" s="160" t="s">
        <v>207</v>
      </c>
      <c r="B35" s="160"/>
      <c r="C35" s="87"/>
      <c r="D35" s="161">
        <v>42737</v>
      </c>
      <c r="E35" s="161">
        <v>42737</v>
      </c>
      <c r="F35" s="162"/>
      <c r="G35" s="163">
        <f t="shared" si="45"/>
        <v>0</v>
      </c>
      <c r="H35" s="164">
        <f t="shared" si="46"/>
        <v>0</v>
      </c>
      <c r="I35" s="176">
        <f>IF(ISBLANK(A35),"",VLOOKUP(A35,gsrates!$A$3:$AK$38,VLOOKUP($B$5,gsrates!$A$41:$C$58,2,FALSE),FALSE))</f>
        <v>275</v>
      </c>
      <c r="J35" s="80">
        <f t="shared" si="47"/>
        <v>0</v>
      </c>
      <c r="K35" s="207">
        <f>IF(ISBLANK(A35),"",VLOOKUP(A35,gsrates!$A$3:$AK$38,VLOOKUP($B$5,gsrates!$A$41:$C$58,3,FALSE),FALSE))</f>
        <v>34</v>
      </c>
      <c r="L35" s="207">
        <f t="shared" si="48"/>
        <v>0</v>
      </c>
      <c r="M35" s="80">
        <f t="shared" si="49"/>
        <v>0</v>
      </c>
      <c r="N35" s="177">
        <v>0</v>
      </c>
      <c r="O35" s="207">
        <f t="shared" si="50"/>
        <v>0</v>
      </c>
      <c r="P35" s="80">
        <f t="shared" si="51"/>
        <v>0</v>
      </c>
      <c r="Q35" s="155" t="e">
        <f t="shared" si="52"/>
        <v>#DIV/0!</v>
      </c>
      <c r="R35" s="268" t="str">
        <f t="shared" si="9"/>
        <v/>
      </c>
      <c r="S35" s="41"/>
    </row>
    <row r="36" spans="1:147" outlineLevel="1" x14ac:dyDescent="0.3">
      <c r="A36" s="160" t="s">
        <v>208</v>
      </c>
      <c r="B36" s="160"/>
      <c r="C36" s="87"/>
      <c r="D36" s="161">
        <v>42737</v>
      </c>
      <c r="E36" s="161">
        <v>42737</v>
      </c>
      <c r="F36" s="162"/>
      <c r="G36" s="163">
        <f t="shared" si="45"/>
        <v>0</v>
      </c>
      <c r="H36" s="164">
        <f t="shared" si="46"/>
        <v>0</v>
      </c>
      <c r="I36" s="176">
        <f>IF(ISBLANK(A36),"",VLOOKUP(A36,gsrates!$A$3:$AK$38,VLOOKUP($B$5,gsrates!$A$41:$C$58,2,FALSE),FALSE))</f>
        <v>245</v>
      </c>
      <c r="J36" s="80">
        <f t="shared" si="47"/>
        <v>0</v>
      </c>
      <c r="K36" s="207">
        <f>IF(ISBLANK(A36),"",VLOOKUP(A36,gsrates!$A$3:$AK$38,VLOOKUP($B$5,gsrates!$A$41:$C$58,3,FALSE),FALSE))</f>
        <v>23</v>
      </c>
      <c r="L36" s="207">
        <f t="shared" si="48"/>
        <v>0</v>
      </c>
      <c r="M36" s="80">
        <f t="shared" si="49"/>
        <v>0</v>
      </c>
      <c r="N36" s="177">
        <v>0</v>
      </c>
      <c r="O36" s="207">
        <f t="shared" si="50"/>
        <v>0</v>
      </c>
      <c r="P36" s="80">
        <f t="shared" si="51"/>
        <v>0</v>
      </c>
      <c r="Q36" s="155" t="e">
        <f t="shared" si="52"/>
        <v>#DIV/0!</v>
      </c>
      <c r="R36" s="268" t="str">
        <f t="shared" si="9"/>
        <v/>
      </c>
      <c r="S36" s="41"/>
    </row>
    <row r="37" spans="1:147" outlineLevel="1" x14ac:dyDescent="0.3">
      <c r="A37" s="160" t="s">
        <v>209</v>
      </c>
      <c r="B37" s="160"/>
      <c r="C37" s="87"/>
      <c r="D37" s="161">
        <v>42737</v>
      </c>
      <c r="E37" s="161">
        <v>42737</v>
      </c>
      <c r="F37" s="162"/>
      <c r="G37" s="163">
        <f t="shared" si="45"/>
        <v>0</v>
      </c>
      <c r="H37" s="164">
        <f t="shared" si="46"/>
        <v>0</v>
      </c>
      <c r="I37" s="176">
        <f>IF(ISBLANK(A37),"",VLOOKUP(A37,gsrates!$A$3:$AK$38,VLOOKUP($B$5,gsrates!$A$41:$C$58,2,FALSE),FALSE))</f>
        <v>120</v>
      </c>
      <c r="J37" s="80">
        <f t="shared" si="47"/>
        <v>0</v>
      </c>
      <c r="K37" s="207">
        <f>IF(ISBLANK(A37),"",VLOOKUP(A37,gsrates!$A$3:$AK$38,VLOOKUP($B$5,gsrates!$A$41:$C$58,3,FALSE),FALSE))</f>
        <v>38</v>
      </c>
      <c r="L37" s="207">
        <f t="shared" si="48"/>
        <v>0</v>
      </c>
      <c r="M37" s="80">
        <f t="shared" si="49"/>
        <v>0</v>
      </c>
      <c r="N37" s="177">
        <v>0</v>
      </c>
      <c r="O37" s="207">
        <f t="shared" si="50"/>
        <v>0</v>
      </c>
      <c r="P37" s="80">
        <f t="shared" si="51"/>
        <v>0</v>
      </c>
      <c r="Q37" s="155" t="e">
        <f t="shared" si="52"/>
        <v>#DIV/0!</v>
      </c>
      <c r="R37" s="268" t="str">
        <f t="shared" si="9"/>
        <v/>
      </c>
      <c r="S37" s="41"/>
    </row>
    <row r="38" spans="1:147" outlineLevel="1" x14ac:dyDescent="0.3">
      <c r="A38" s="160" t="s">
        <v>210</v>
      </c>
      <c r="B38" s="160"/>
      <c r="C38" s="87"/>
      <c r="D38" s="161">
        <v>42737</v>
      </c>
      <c r="E38" s="161">
        <v>42737</v>
      </c>
      <c r="F38" s="162"/>
      <c r="G38" s="163">
        <f t="shared" si="45"/>
        <v>0</v>
      </c>
      <c r="H38" s="164">
        <f t="shared" si="46"/>
        <v>0</v>
      </c>
      <c r="I38" s="176">
        <f>IF(ISBLANK(A38),"",VLOOKUP(A38,gsrates!$A$3:$AK$38,VLOOKUP($B$5,gsrates!$A$41:$C$58,2,FALSE),FALSE))</f>
        <v>80</v>
      </c>
      <c r="J38" s="80">
        <f t="shared" si="47"/>
        <v>0</v>
      </c>
      <c r="K38" s="207">
        <f>IF(ISBLANK(A38),"",VLOOKUP(A38,gsrates!$A$3:$AK$38,VLOOKUP($B$5,gsrates!$A$41:$C$58,3,FALSE),FALSE))</f>
        <v>34</v>
      </c>
      <c r="L38" s="207">
        <f t="shared" si="48"/>
        <v>0</v>
      </c>
      <c r="M38" s="80">
        <f t="shared" si="49"/>
        <v>0</v>
      </c>
      <c r="N38" s="177">
        <v>0</v>
      </c>
      <c r="O38" s="207">
        <f t="shared" si="50"/>
        <v>0</v>
      </c>
      <c r="P38" s="80">
        <f t="shared" si="51"/>
        <v>0</v>
      </c>
      <c r="Q38" s="155" t="e">
        <f t="shared" si="52"/>
        <v>#DIV/0!</v>
      </c>
      <c r="R38" s="268" t="str">
        <f t="shared" si="9"/>
        <v/>
      </c>
      <c r="S38" s="41"/>
    </row>
    <row r="39" spans="1:147" outlineLevel="1" x14ac:dyDescent="0.3">
      <c r="A39" s="160" t="s">
        <v>211</v>
      </c>
      <c r="B39" s="160"/>
      <c r="C39" s="87"/>
      <c r="D39" s="161">
        <v>42737</v>
      </c>
      <c r="E39" s="161">
        <v>42737</v>
      </c>
      <c r="F39" s="162"/>
      <c r="G39" s="163">
        <f t="shared" si="45"/>
        <v>0</v>
      </c>
      <c r="H39" s="164">
        <f t="shared" si="46"/>
        <v>0</v>
      </c>
      <c r="I39" s="176">
        <f>IF(ISBLANK(A39),"",VLOOKUP(A39,gsrates!$A$3:$AK$38,VLOOKUP($B$5,gsrates!$A$41:$C$58,2,FALSE),FALSE))</f>
        <v>60</v>
      </c>
      <c r="J39" s="80">
        <f t="shared" si="47"/>
        <v>0</v>
      </c>
      <c r="K39" s="207">
        <f>IF(ISBLANK(A39),"",VLOOKUP(A39,gsrates!$A$3:$AK$38,VLOOKUP($B$5,gsrates!$A$41:$C$58,3,FALSE),FALSE))</f>
        <v>23</v>
      </c>
      <c r="L39" s="207">
        <f t="shared" si="48"/>
        <v>0</v>
      </c>
      <c r="M39" s="80">
        <f t="shared" si="49"/>
        <v>0</v>
      </c>
      <c r="N39" s="177">
        <v>0</v>
      </c>
      <c r="O39" s="207">
        <f t="shared" si="50"/>
        <v>0</v>
      </c>
      <c r="P39" s="80">
        <f t="shared" si="51"/>
        <v>0</v>
      </c>
      <c r="Q39" s="155" t="e">
        <f t="shared" si="52"/>
        <v>#DIV/0!</v>
      </c>
      <c r="R39" s="268" t="str">
        <f t="shared" si="9"/>
        <v/>
      </c>
      <c r="S39" s="41"/>
    </row>
    <row r="40" spans="1:147" outlineLevel="1" x14ac:dyDescent="0.3">
      <c r="A40" s="160" t="s">
        <v>212</v>
      </c>
      <c r="B40" s="160"/>
      <c r="C40" s="87"/>
      <c r="D40" s="161">
        <v>42737</v>
      </c>
      <c r="E40" s="161">
        <v>42737</v>
      </c>
      <c r="F40" s="162"/>
      <c r="G40" s="163">
        <f t="shared" si="45"/>
        <v>0</v>
      </c>
      <c r="H40" s="164">
        <f t="shared" si="46"/>
        <v>0</v>
      </c>
      <c r="I40" s="176">
        <f>IF(ISBLANK(A40),"",VLOOKUP(A40,gsrates!$A$3:$AK$38,VLOOKUP($B$5,gsrates!$A$41:$C$58,2,FALSE),FALSE))</f>
        <v>90</v>
      </c>
      <c r="J40" s="80">
        <f t="shared" si="47"/>
        <v>0</v>
      </c>
      <c r="K40" s="207">
        <f>IF(ISBLANK(A40),"",VLOOKUP(A40,gsrates!$A$3:$AK$38,VLOOKUP($B$5,gsrates!$A$41:$C$58,3,FALSE),FALSE))</f>
        <v>54</v>
      </c>
      <c r="L40" s="207">
        <f t="shared" si="48"/>
        <v>0</v>
      </c>
      <c r="M40" s="80">
        <f t="shared" si="49"/>
        <v>0</v>
      </c>
      <c r="N40" s="177">
        <v>0</v>
      </c>
      <c r="O40" s="207">
        <f t="shared" si="50"/>
        <v>0</v>
      </c>
      <c r="P40" s="80">
        <f t="shared" si="51"/>
        <v>0</v>
      </c>
      <c r="Q40" s="155" t="e">
        <f t="shared" si="52"/>
        <v>#DIV/0!</v>
      </c>
      <c r="R40" s="268" t="str">
        <f t="shared" si="9"/>
        <v/>
      </c>
      <c r="S40" s="41"/>
    </row>
    <row r="41" spans="1:147" outlineLevel="1" x14ac:dyDescent="0.3">
      <c r="A41" s="160" t="s">
        <v>213</v>
      </c>
      <c r="B41" s="160"/>
      <c r="C41" s="87"/>
      <c r="D41" s="161">
        <v>42737</v>
      </c>
      <c r="E41" s="161">
        <v>42737</v>
      </c>
      <c r="F41" s="162"/>
      <c r="G41" s="163">
        <f t="shared" si="45"/>
        <v>0</v>
      </c>
      <c r="H41" s="164">
        <f t="shared" si="46"/>
        <v>0</v>
      </c>
      <c r="I41" s="176">
        <f>IF(ISBLANK(A41),"",VLOOKUP(A41,gsrates!$A$3:$AK$38,VLOOKUP($B$5,gsrates!$A$41:$C$58,2,FALSE),FALSE))</f>
        <v>55</v>
      </c>
      <c r="J41" s="80">
        <f t="shared" si="47"/>
        <v>0</v>
      </c>
      <c r="K41" s="207">
        <f>IF(ISBLANK(A41),"",VLOOKUP(A41,gsrates!$A$3:$AK$38,VLOOKUP($B$5,gsrates!$A$41:$C$58,3,FALSE),FALSE))</f>
        <v>17</v>
      </c>
      <c r="L41" s="207">
        <f t="shared" si="48"/>
        <v>0</v>
      </c>
      <c r="M41" s="80">
        <f t="shared" si="49"/>
        <v>0</v>
      </c>
      <c r="N41" s="177">
        <v>0</v>
      </c>
      <c r="O41" s="207">
        <f t="shared" si="50"/>
        <v>0</v>
      </c>
      <c r="P41" s="80">
        <f t="shared" si="51"/>
        <v>0</v>
      </c>
      <c r="Q41" s="155" t="e">
        <f t="shared" si="52"/>
        <v>#DIV/0!</v>
      </c>
      <c r="R41" s="268" t="str">
        <f t="shared" si="9"/>
        <v/>
      </c>
      <c r="S41" s="41"/>
    </row>
    <row r="42" spans="1:147" outlineLevel="1" x14ac:dyDescent="0.3">
      <c r="A42" s="160" t="s">
        <v>214</v>
      </c>
      <c r="B42" s="160"/>
      <c r="C42" s="87"/>
      <c r="D42" s="161">
        <v>42737</v>
      </c>
      <c r="E42" s="161">
        <v>42737</v>
      </c>
      <c r="F42" s="162"/>
      <c r="G42" s="163">
        <f t="shared" si="45"/>
        <v>0</v>
      </c>
      <c r="H42" s="164">
        <f t="shared" si="46"/>
        <v>0</v>
      </c>
      <c r="I42" s="176">
        <f>IF(ISBLANK(A42),"",VLOOKUP(A42,gsrates!$A$3:$AK$38,VLOOKUP($B$5,gsrates!$A$41:$C$58,2,FALSE),FALSE))</f>
        <v>75</v>
      </c>
      <c r="J42" s="80">
        <f t="shared" si="47"/>
        <v>0</v>
      </c>
      <c r="K42" s="207">
        <f>IF(ISBLANK(A42),"",VLOOKUP(A42,gsrates!$A$3:$AK$38,VLOOKUP($B$5,gsrates!$A$41:$C$58,3,FALSE),FALSE))</f>
        <v>37</v>
      </c>
      <c r="L42" s="207">
        <f t="shared" si="48"/>
        <v>0</v>
      </c>
      <c r="M42" s="80">
        <f t="shared" si="49"/>
        <v>0</v>
      </c>
      <c r="N42" s="177">
        <v>0</v>
      </c>
      <c r="O42" s="207">
        <f t="shared" si="50"/>
        <v>0</v>
      </c>
      <c r="P42" s="80">
        <f t="shared" si="51"/>
        <v>0</v>
      </c>
      <c r="Q42" s="155" t="e">
        <f t="shared" si="52"/>
        <v>#DIV/0!</v>
      </c>
      <c r="R42" s="268" t="str">
        <f t="shared" si="9"/>
        <v/>
      </c>
      <c r="S42" s="41"/>
    </row>
    <row r="43" spans="1:147" outlineLevel="1" x14ac:dyDescent="0.3">
      <c r="A43" s="160" t="s">
        <v>215</v>
      </c>
      <c r="B43" s="160"/>
      <c r="C43" s="87"/>
      <c r="D43" s="161">
        <v>42737</v>
      </c>
      <c r="E43" s="161">
        <v>42737</v>
      </c>
      <c r="F43" s="162"/>
      <c r="G43" s="163">
        <f t="shared" si="45"/>
        <v>0</v>
      </c>
      <c r="H43" s="164">
        <f t="shared" si="46"/>
        <v>0</v>
      </c>
      <c r="I43" s="176">
        <f>IF(ISBLANK(A43),"",VLOOKUP(A43,gsrates!$A$3:$AK$38,VLOOKUP($B$5,gsrates!$A$41:$C$58,2,FALSE),FALSE))</f>
        <v>55</v>
      </c>
      <c r="J43" s="80">
        <f t="shared" si="47"/>
        <v>0</v>
      </c>
      <c r="K43" s="207">
        <f>IF(ISBLANK(A43),"",VLOOKUP(A43,gsrates!$A$3:$AK$38,VLOOKUP($B$5,gsrates!$A$41:$C$58,3,FALSE),FALSE))</f>
        <v>19</v>
      </c>
      <c r="L43" s="207">
        <f t="shared" si="48"/>
        <v>0</v>
      </c>
      <c r="M43" s="80">
        <f t="shared" si="49"/>
        <v>0</v>
      </c>
      <c r="N43" s="177">
        <v>0</v>
      </c>
      <c r="O43" s="207">
        <f t="shared" si="50"/>
        <v>0</v>
      </c>
      <c r="P43" s="80">
        <f t="shared" si="51"/>
        <v>0</v>
      </c>
      <c r="Q43" s="155" t="e">
        <f t="shared" si="52"/>
        <v>#DIV/0!</v>
      </c>
      <c r="R43" s="268" t="str">
        <f t="shared" si="9"/>
        <v/>
      </c>
      <c r="S43" s="41"/>
    </row>
    <row r="44" spans="1:147" outlineLevel="1" x14ac:dyDescent="0.3">
      <c r="A44" s="160" t="s">
        <v>216</v>
      </c>
      <c r="B44" s="160"/>
      <c r="C44" s="87"/>
      <c r="D44" s="161">
        <v>42737</v>
      </c>
      <c r="E44" s="161">
        <v>42737</v>
      </c>
      <c r="F44" s="162"/>
      <c r="G44" s="163">
        <f t="shared" si="45"/>
        <v>0</v>
      </c>
      <c r="H44" s="164">
        <f t="shared" si="46"/>
        <v>0</v>
      </c>
      <c r="I44" s="176">
        <f>IF(ISBLANK(A44),"",VLOOKUP(A44,gsrates!$A$3:$AK$38,VLOOKUP($B$5,gsrates!$A$41:$C$58,2,FALSE),FALSE))</f>
        <v>35</v>
      </c>
      <c r="J44" s="80">
        <f t="shared" si="47"/>
        <v>0</v>
      </c>
      <c r="K44" s="207">
        <f>IF(ISBLANK(A44),"",VLOOKUP(A44,gsrates!$A$3:$AK$38,VLOOKUP($B$5,gsrates!$A$41:$C$58,3,FALSE),FALSE))</f>
        <v>14</v>
      </c>
      <c r="L44" s="207">
        <f t="shared" si="48"/>
        <v>0</v>
      </c>
      <c r="M44" s="80">
        <f t="shared" si="49"/>
        <v>0</v>
      </c>
      <c r="N44" s="177">
        <v>0</v>
      </c>
      <c r="O44" s="207">
        <f t="shared" si="50"/>
        <v>0</v>
      </c>
      <c r="P44" s="80">
        <f t="shared" si="51"/>
        <v>0</v>
      </c>
      <c r="Q44" s="155" t="e">
        <f t="shared" si="52"/>
        <v>#DIV/0!</v>
      </c>
      <c r="R44" s="268" t="str">
        <f t="shared" si="9"/>
        <v/>
      </c>
      <c r="S44" s="41"/>
    </row>
    <row r="45" spans="1:147" outlineLevel="1" x14ac:dyDescent="0.3">
      <c r="A45" s="160" t="s">
        <v>217</v>
      </c>
      <c r="B45" s="160"/>
      <c r="C45" s="87"/>
      <c r="D45" s="161">
        <v>42737</v>
      </c>
      <c r="E45" s="161">
        <v>42737</v>
      </c>
      <c r="F45" s="162"/>
      <c r="G45" s="163">
        <f t="shared" ref="G45" si="53">IF(ISBLANK(A45),"",NETWORKDAYS(D45,E45)*F45)</f>
        <v>0</v>
      </c>
      <c r="H45" s="164">
        <f t="shared" ref="H45" si="54">IF(ISBLANK(A45),"",G45*$B$9)</f>
        <v>0</v>
      </c>
      <c r="I45" s="176">
        <f>IF(ISBLANK(A45),"",VLOOKUP(A45,gsrates!$A$3:$AK$38,VLOOKUP($B$5,gsrates!$A$41:$C$58,2,FALSE),FALSE))</f>
        <v>30</v>
      </c>
      <c r="J45" s="80">
        <f t="shared" ref="J45" si="55">IF(ISBLANK(A45),"",H45*I45)</f>
        <v>0</v>
      </c>
      <c r="K45" s="207">
        <f>IF(ISBLANK(A45),"",VLOOKUP(A45,gsrates!$A$3:$AK$38,VLOOKUP($B$5,gsrates!$A$41:$C$58,3,FALSE),FALSE))</f>
        <v>9</v>
      </c>
      <c r="L45" s="207">
        <f t="shared" ref="L45" si="56">IF(ISBLANK(A45),"",K45*G45*8)</f>
        <v>0</v>
      </c>
      <c r="M45" s="80">
        <f t="shared" ref="M45" si="57">IF(ISBLANK(A45),"",J45-L45)</f>
        <v>0</v>
      </c>
      <c r="N45" s="177">
        <v>0</v>
      </c>
      <c r="O45" s="207">
        <f t="shared" ref="O45" si="58">IF(ISBLANK(A45),"",G45*N45*$B$9)</f>
        <v>0</v>
      </c>
      <c r="P45" s="80">
        <f t="shared" ref="P45" si="59">IF(ISBLANK(A45),"",O45-L45)</f>
        <v>0</v>
      </c>
      <c r="Q45" s="155" t="e">
        <f t="shared" ref="Q45" si="60">IF(ISBLANK(A45),"",P45/O45)</f>
        <v>#DIV/0!</v>
      </c>
      <c r="R45" s="268" t="str">
        <f t="shared" si="9"/>
        <v/>
      </c>
      <c r="S45" s="41"/>
    </row>
    <row r="46" spans="1:147" s="11" customFormat="1" ht="14.4" outlineLevel="1" thickBot="1" x14ac:dyDescent="0.35">
      <c r="A46" s="167" t="s">
        <v>238</v>
      </c>
      <c r="B46" s="167"/>
      <c r="C46" s="167"/>
      <c r="D46" s="168">
        <v>42737</v>
      </c>
      <c r="E46" s="168">
        <v>42737</v>
      </c>
      <c r="F46" s="169"/>
      <c r="G46" s="170">
        <f t="shared" si="0"/>
        <v>0</v>
      </c>
      <c r="H46" s="171">
        <f t="shared" si="1"/>
        <v>0</v>
      </c>
      <c r="I46" s="178">
        <f>IF(ISBLANK(A46),"",VLOOKUP(A46,gsrates!$A$3:$AK$38,VLOOKUP($B$5,gsrates!$A$41:$C$58,2,FALSE),FALSE))</f>
        <v>75</v>
      </c>
      <c r="J46" s="82">
        <f t="shared" si="2"/>
        <v>0</v>
      </c>
      <c r="K46" s="208">
        <f>IF(ISBLANK(A46),"",VLOOKUP(A46,gsrates!$A$3:$AK$38,VLOOKUP($B$5,gsrates!$A$41:$C$58,3,FALSE),FALSE))</f>
        <v>28</v>
      </c>
      <c r="L46" s="208">
        <f t="shared" si="3"/>
        <v>0</v>
      </c>
      <c r="M46" s="82">
        <f t="shared" si="4"/>
        <v>0</v>
      </c>
      <c r="N46" s="175">
        <v>0</v>
      </c>
      <c r="O46" s="208">
        <f t="shared" si="5"/>
        <v>0</v>
      </c>
      <c r="P46" s="82">
        <f t="shared" si="6"/>
        <v>0</v>
      </c>
      <c r="Q46" s="158" t="e">
        <f t="shared" si="7"/>
        <v>#DIV/0!</v>
      </c>
      <c r="R46" s="269" t="str">
        <f>IF(H46&gt;0,1-O46/J46,"")</f>
        <v/>
      </c>
      <c r="S46" s="174"/>
      <c r="T46" s="41" t="str">
        <f t="shared" si="8"/>
        <v>-NA</v>
      </c>
      <c r="U46" s="41"/>
      <c r="V46" s="41"/>
      <c r="W46" s="41"/>
      <c r="X46" s="41"/>
      <c r="Y46" s="41"/>
      <c r="Z46" s="41"/>
      <c r="AA46" s="41"/>
      <c r="AB46" s="41"/>
      <c r="AC46" s="41"/>
      <c r="AD46" s="41"/>
      <c r="AE46" s="41"/>
      <c r="AF46" s="41"/>
      <c r="AG46" s="41"/>
      <c r="AH46" s="41"/>
      <c r="AI46" s="41"/>
      <c r="AJ46" s="41"/>
      <c r="AK46" s="41"/>
      <c r="AL46" s="41"/>
      <c r="AM46" s="41"/>
      <c r="AN46" s="41"/>
      <c r="AO46" s="41"/>
      <c r="AP46" s="41"/>
      <c r="AQ46" s="41"/>
      <c r="AR46" s="41"/>
      <c r="AS46" s="41"/>
      <c r="AT46" s="41"/>
      <c r="AU46" s="41"/>
      <c r="AV46" s="41"/>
      <c r="AW46" s="41"/>
      <c r="AX46" s="41"/>
      <c r="AY46" s="41"/>
      <c r="AZ46" s="41"/>
      <c r="BA46" s="41"/>
      <c r="BB46" s="41"/>
      <c r="BC46" s="41"/>
      <c r="BD46" s="41"/>
      <c r="BE46" s="41"/>
      <c r="BF46" s="41"/>
      <c r="BG46" s="41"/>
      <c r="BH46" s="41"/>
      <c r="BI46" s="41"/>
      <c r="BJ46" s="41"/>
      <c r="BK46" s="41"/>
      <c r="BL46" s="41"/>
      <c r="BM46" s="41"/>
      <c r="BN46" s="41"/>
      <c r="BO46" s="41"/>
      <c r="BP46" s="41"/>
      <c r="BQ46" s="41"/>
      <c r="BR46" s="41"/>
      <c r="BS46" s="41"/>
      <c r="BT46" s="41"/>
      <c r="BU46" s="41"/>
      <c r="BV46" s="41"/>
      <c r="BW46" s="41"/>
      <c r="BX46" s="41"/>
      <c r="BY46" s="41"/>
      <c r="BZ46" s="41"/>
      <c r="CA46" s="41"/>
      <c r="CB46" s="41"/>
      <c r="CC46" s="41"/>
      <c r="CD46" s="41"/>
      <c r="CE46" s="41"/>
      <c r="CF46" s="41"/>
      <c r="CG46" s="41"/>
      <c r="CH46" s="41"/>
      <c r="CI46" s="41"/>
      <c r="CJ46" s="41"/>
      <c r="CK46" s="41"/>
      <c r="CL46" s="41"/>
      <c r="CM46" s="41"/>
      <c r="CN46" s="41"/>
      <c r="CO46" s="41"/>
      <c r="CP46" s="41"/>
      <c r="CQ46" s="41"/>
      <c r="CR46" s="41"/>
      <c r="CS46" s="41"/>
      <c r="CT46" s="41"/>
      <c r="CU46" s="41"/>
      <c r="CV46" s="41"/>
      <c r="CW46" s="41"/>
      <c r="CX46" s="41"/>
      <c r="CY46" s="41"/>
      <c r="CZ46" s="41"/>
      <c r="DA46" s="41"/>
      <c r="DB46" s="41"/>
      <c r="DC46" s="41"/>
      <c r="DD46" s="41"/>
      <c r="DE46" s="41"/>
      <c r="DF46" s="41"/>
      <c r="DG46" s="41"/>
      <c r="DH46" s="41"/>
      <c r="DI46" s="41"/>
      <c r="DJ46" s="41"/>
      <c r="DK46" s="41"/>
      <c r="DL46" s="41"/>
      <c r="DM46" s="41"/>
      <c r="DN46" s="41"/>
      <c r="DO46" s="41"/>
      <c r="DP46" s="41"/>
      <c r="DQ46" s="41"/>
      <c r="DR46" s="41"/>
      <c r="DS46" s="41"/>
      <c r="DT46" s="41"/>
      <c r="DU46" s="41"/>
      <c r="DV46" s="41"/>
      <c r="DW46" s="41"/>
      <c r="DX46" s="41"/>
      <c r="DY46" s="41"/>
      <c r="DZ46" s="41"/>
      <c r="EA46" s="41"/>
      <c r="EB46" s="41"/>
      <c r="EC46" s="41"/>
      <c r="ED46" s="41"/>
      <c r="EE46" s="41"/>
      <c r="EF46" s="41"/>
      <c r="EG46" s="41"/>
      <c r="EH46" s="41"/>
      <c r="EI46" s="41"/>
      <c r="EJ46" s="41"/>
      <c r="EK46" s="41"/>
      <c r="EL46" s="41"/>
      <c r="EM46" s="41"/>
      <c r="EN46" s="41"/>
      <c r="EO46" s="41"/>
      <c r="EP46" s="41"/>
      <c r="EQ46" s="41"/>
    </row>
    <row r="47" spans="1:147" x14ac:dyDescent="0.3">
      <c r="A47" s="393" t="s">
        <v>11</v>
      </c>
      <c r="B47" s="393"/>
      <c r="C47" s="237"/>
      <c r="D47" s="7"/>
      <c r="E47" s="7"/>
      <c r="F47" s="8"/>
      <c r="G47" s="9">
        <f>SUM(G14:G46)</f>
        <v>0</v>
      </c>
      <c r="H47" s="9">
        <f>SUM(H14:H46)</f>
        <v>0</v>
      </c>
      <c r="I47" s="31"/>
      <c r="J47" s="36">
        <f>SUM(J14:J46)</f>
        <v>0</v>
      </c>
      <c r="K47" s="209"/>
      <c r="L47" s="209">
        <f>SUM(L14:L46)</f>
        <v>0</v>
      </c>
      <c r="M47" s="36">
        <f>SUM(M14:M46)</f>
        <v>0</v>
      </c>
      <c r="N47" s="33"/>
      <c r="O47" s="209">
        <f>SUM(O14:O46)</f>
        <v>0</v>
      </c>
      <c r="P47" s="36">
        <f>SUM(P14:P46)</f>
        <v>0</v>
      </c>
      <c r="Q47" s="15" t="str">
        <f>IF(G47=0,"",P47/O47)</f>
        <v/>
      </c>
      <c r="R47" s="270"/>
    </row>
    <row r="48" spans="1:147" x14ac:dyDescent="0.3">
      <c r="D48" s="7"/>
      <c r="E48" s="7"/>
      <c r="F48" s="8"/>
      <c r="G48" s="9"/>
      <c r="H48" s="9"/>
      <c r="I48" s="31"/>
      <c r="J48" s="36"/>
      <c r="K48" s="209"/>
      <c r="L48" s="209"/>
      <c r="M48" s="36"/>
      <c r="N48" s="33"/>
      <c r="O48" s="209"/>
      <c r="P48" s="36"/>
      <c r="Q48" s="10"/>
      <c r="R48" s="270"/>
    </row>
    <row r="49" spans="1:147" outlineLevel="1" x14ac:dyDescent="0.3">
      <c r="B49" s="3"/>
      <c r="C49" s="3"/>
      <c r="D49" s="5"/>
      <c r="E49" s="5"/>
      <c r="F49" s="5"/>
      <c r="G49" s="6"/>
      <c r="H49" s="118"/>
      <c r="I49" s="34"/>
      <c r="J49" s="38"/>
      <c r="K49" s="210"/>
      <c r="L49" s="210"/>
      <c r="M49" s="38"/>
      <c r="N49" s="34"/>
      <c r="O49" s="210"/>
      <c r="P49" s="38"/>
      <c r="Q49" s="6"/>
      <c r="R49" s="266"/>
    </row>
    <row r="50" spans="1:147" outlineLevel="1" x14ac:dyDescent="0.3">
      <c r="A50" s="12" t="s">
        <v>12</v>
      </c>
      <c r="B50" s="12" t="s">
        <v>55</v>
      </c>
      <c r="C50" s="12"/>
      <c r="D50" s="13" t="s">
        <v>56</v>
      </c>
      <c r="E50" s="13" t="s">
        <v>57</v>
      </c>
      <c r="F50" s="13" t="s">
        <v>7</v>
      </c>
      <c r="G50" s="13" t="s">
        <v>20</v>
      </c>
      <c r="H50" s="119" t="s">
        <v>83</v>
      </c>
      <c r="I50" s="40" t="s">
        <v>10</v>
      </c>
      <c r="J50" s="13" t="s">
        <v>58</v>
      </c>
      <c r="K50" s="206" t="s">
        <v>59</v>
      </c>
      <c r="L50" s="218" t="s">
        <v>31</v>
      </c>
      <c r="M50" s="39" t="s">
        <v>21</v>
      </c>
      <c r="N50" s="35" t="s">
        <v>22</v>
      </c>
      <c r="O50" s="218" t="s">
        <v>60</v>
      </c>
      <c r="P50" s="13" t="s">
        <v>32</v>
      </c>
      <c r="Q50" s="13" t="s">
        <v>23</v>
      </c>
      <c r="R50" s="267"/>
    </row>
    <row r="51" spans="1:147" outlineLevel="1" x14ac:dyDescent="0.3">
      <c r="A51" s="87"/>
      <c r="B51" s="87"/>
      <c r="C51" s="87"/>
      <c r="D51" s="88"/>
      <c r="E51" s="88"/>
      <c r="F51" s="162"/>
      <c r="G51" s="9" t="str">
        <f t="shared" ref="G51:G57" si="61">IF(ISBLANK(A51),"",NETWORKDAYS(D51,E51)*F51)</f>
        <v/>
      </c>
      <c r="H51" s="120" t="str">
        <f t="shared" ref="H51:H57" si="62">IF(ISBLANK(A51),"",G51*$B$9)</f>
        <v/>
      </c>
      <c r="I51" s="90"/>
      <c r="J51" s="36" t="str">
        <f t="shared" ref="J51:J57" si="63">IF(ISBLANK(A51),"",H51*I51)</f>
        <v/>
      </c>
      <c r="K51" s="211"/>
      <c r="L51" s="219" t="str">
        <f t="shared" ref="L51:L57" si="64">IF(ISBLANK(A51)," ",(K51*G51*$B$9))</f>
        <v xml:space="preserve"> </v>
      </c>
      <c r="M51" s="36" t="str">
        <f>IF(ISBLANK(A51),"",(I51*G51*8)-L51)</f>
        <v/>
      </c>
      <c r="N51" s="90"/>
      <c r="O51" s="209" t="str">
        <f t="shared" ref="O51:O57" si="65">IF(ISBLANK(A51),"",G51*N51*$B$9)</f>
        <v/>
      </c>
      <c r="P51" s="36" t="str">
        <f t="shared" ref="P51:P57" si="66">IF(ISBLANK(A51),"",O51-L51)</f>
        <v/>
      </c>
      <c r="Q51" s="15" t="str">
        <f t="shared" ref="Q51:Q57" si="67">IF(ISBLANK(A51),"",P51/O51)</f>
        <v/>
      </c>
      <c r="R51" s="270"/>
      <c r="T51" s="41" t="str">
        <f t="shared" ref="T51:T57" si="68">IF(ISBLANK(A51),"",CONCATENATE(C51,"-",$B$5))</f>
        <v/>
      </c>
      <c r="X51" s="237"/>
    </row>
    <row r="52" spans="1:147" outlineLevel="1" x14ac:dyDescent="0.3">
      <c r="A52" s="87"/>
      <c r="B52" s="87"/>
      <c r="C52" s="87"/>
      <c r="D52" s="88"/>
      <c r="E52" s="88"/>
      <c r="F52" s="162"/>
      <c r="G52" s="9" t="str">
        <f t="shared" si="61"/>
        <v/>
      </c>
      <c r="H52" s="120" t="str">
        <f t="shared" si="62"/>
        <v/>
      </c>
      <c r="I52" s="90"/>
      <c r="J52" s="36" t="str">
        <f t="shared" si="63"/>
        <v/>
      </c>
      <c r="K52" s="211"/>
      <c r="L52" s="219" t="str">
        <f t="shared" si="64"/>
        <v xml:space="preserve"> </v>
      </c>
      <c r="M52" s="36" t="str">
        <f t="shared" ref="M52:M57" si="69">IF(ISBLANK(A52),"",J52-L52)</f>
        <v/>
      </c>
      <c r="N52" s="90"/>
      <c r="O52" s="209" t="str">
        <f t="shared" si="65"/>
        <v/>
      </c>
      <c r="P52" s="36" t="str">
        <f t="shared" si="66"/>
        <v/>
      </c>
      <c r="Q52" s="15" t="str">
        <f t="shared" si="67"/>
        <v/>
      </c>
      <c r="R52" s="270"/>
      <c r="T52" s="41" t="str">
        <f t="shared" si="68"/>
        <v/>
      </c>
    </row>
    <row r="53" spans="1:147" outlineLevel="1" x14ac:dyDescent="0.3">
      <c r="A53" s="87"/>
      <c r="B53" s="87"/>
      <c r="C53" s="87"/>
      <c r="D53" s="88"/>
      <c r="E53" s="88"/>
      <c r="F53" s="162"/>
      <c r="G53" s="9" t="str">
        <f t="shared" si="61"/>
        <v/>
      </c>
      <c r="H53" s="120" t="str">
        <f t="shared" si="62"/>
        <v/>
      </c>
      <c r="I53" s="90"/>
      <c r="J53" s="36" t="str">
        <f t="shared" si="63"/>
        <v/>
      </c>
      <c r="K53" s="211"/>
      <c r="L53" s="219" t="str">
        <f t="shared" si="64"/>
        <v xml:space="preserve"> </v>
      </c>
      <c r="M53" s="36" t="str">
        <f t="shared" si="69"/>
        <v/>
      </c>
      <c r="N53" s="90"/>
      <c r="O53" s="209" t="str">
        <f t="shared" si="65"/>
        <v/>
      </c>
      <c r="P53" s="36" t="str">
        <f t="shared" si="66"/>
        <v/>
      </c>
      <c r="Q53" s="15" t="str">
        <f t="shared" si="67"/>
        <v/>
      </c>
      <c r="R53" s="270"/>
      <c r="T53" s="41" t="str">
        <f t="shared" si="68"/>
        <v/>
      </c>
    </row>
    <row r="54" spans="1:147" outlineLevel="1" x14ac:dyDescent="0.3">
      <c r="A54" s="87"/>
      <c r="B54" s="87"/>
      <c r="C54" s="87"/>
      <c r="D54" s="88"/>
      <c r="E54" s="88"/>
      <c r="F54" s="162"/>
      <c r="G54" s="9" t="str">
        <f t="shared" si="61"/>
        <v/>
      </c>
      <c r="H54" s="120" t="str">
        <f t="shared" si="62"/>
        <v/>
      </c>
      <c r="I54" s="90"/>
      <c r="J54" s="36" t="str">
        <f t="shared" si="63"/>
        <v/>
      </c>
      <c r="K54" s="211"/>
      <c r="L54" s="219" t="str">
        <f t="shared" si="64"/>
        <v xml:space="preserve"> </v>
      </c>
      <c r="M54" s="36" t="str">
        <f t="shared" si="69"/>
        <v/>
      </c>
      <c r="N54" s="90"/>
      <c r="O54" s="209" t="str">
        <f t="shared" si="65"/>
        <v/>
      </c>
      <c r="P54" s="36" t="str">
        <f t="shared" si="66"/>
        <v/>
      </c>
      <c r="Q54" s="15" t="str">
        <f t="shared" si="67"/>
        <v/>
      </c>
      <c r="R54" s="270"/>
      <c r="T54" s="41" t="str">
        <f t="shared" si="68"/>
        <v/>
      </c>
    </row>
    <row r="55" spans="1:147" outlineLevel="1" x14ac:dyDescent="0.3">
      <c r="A55" s="87"/>
      <c r="B55" s="87"/>
      <c r="C55" s="87"/>
      <c r="D55" s="88"/>
      <c r="E55" s="88"/>
      <c r="F55" s="162"/>
      <c r="G55" s="9" t="str">
        <f t="shared" si="61"/>
        <v/>
      </c>
      <c r="H55" s="120" t="str">
        <f t="shared" si="62"/>
        <v/>
      </c>
      <c r="I55" s="90"/>
      <c r="J55" s="36" t="str">
        <f t="shared" si="63"/>
        <v/>
      </c>
      <c r="K55" s="211"/>
      <c r="L55" s="219" t="str">
        <f t="shared" si="64"/>
        <v xml:space="preserve"> </v>
      </c>
      <c r="M55" s="36" t="str">
        <f t="shared" si="69"/>
        <v/>
      </c>
      <c r="N55" s="90"/>
      <c r="O55" s="209" t="str">
        <f t="shared" si="65"/>
        <v/>
      </c>
      <c r="P55" s="36" t="str">
        <f t="shared" si="66"/>
        <v/>
      </c>
      <c r="Q55" s="15" t="str">
        <f t="shared" si="67"/>
        <v/>
      </c>
      <c r="R55" s="270"/>
      <c r="T55" s="41" t="str">
        <f t="shared" si="68"/>
        <v/>
      </c>
    </row>
    <row r="56" spans="1:147" outlineLevel="1" x14ac:dyDescent="0.3">
      <c r="A56" s="87"/>
      <c r="B56" s="87"/>
      <c r="C56" s="87"/>
      <c r="D56" s="88"/>
      <c r="E56" s="88"/>
      <c r="F56" s="162"/>
      <c r="G56" s="9" t="str">
        <f t="shared" si="61"/>
        <v/>
      </c>
      <c r="H56" s="120" t="str">
        <f t="shared" si="62"/>
        <v/>
      </c>
      <c r="I56" s="90"/>
      <c r="J56" s="36" t="str">
        <f t="shared" si="63"/>
        <v/>
      </c>
      <c r="K56" s="211"/>
      <c r="L56" s="219" t="str">
        <f t="shared" si="64"/>
        <v xml:space="preserve"> </v>
      </c>
      <c r="M56" s="36" t="str">
        <f t="shared" si="69"/>
        <v/>
      </c>
      <c r="N56" s="90"/>
      <c r="O56" s="209" t="str">
        <f t="shared" si="65"/>
        <v/>
      </c>
      <c r="P56" s="36" t="str">
        <f t="shared" si="66"/>
        <v/>
      </c>
      <c r="Q56" s="15" t="str">
        <f t="shared" si="67"/>
        <v/>
      </c>
      <c r="R56" s="270"/>
      <c r="T56" s="41" t="str">
        <f t="shared" si="68"/>
        <v/>
      </c>
    </row>
    <row r="57" spans="1:147" s="11" customFormat="1" ht="14.4" outlineLevel="1" thickBot="1" x14ac:dyDescent="0.35">
      <c r="A57" s="167"/>
      <c r="B57" s="167"/>
      <c r="C57" s="167"/>
      <c r="D57" s="168"/>
      <c r="E57" s="168"/>
      <c r="F57" s="169"/>
      <c r="G57" s="170" t="str">
        <f t="shared" si="61"/>
        <v/>
      </c>
      <c r="H57" s="171" t="str">
        <f t="shared" si="62"/>
        <v/>
      </c>
      <c r="I57" s="175"/>
      <c r="J57" s="82" t="str">
        <f t="shared" si="63"/>
        <v/>
      </c>
      <c r="K57" s="212"/>
      <c r="L57" s="220" t="str">
        <f t="shared" si="64"/>
        <v xml:space="preserve"> </v>
      </c>
      <c r="M57" s="82" t="str">
        <f t="shared" si="69"/>
        <v/>
      </c>
      <c r="N57" s="175"/>
      <c r="O57" s="208" t="str">
        <f t="shared" si="65"/>
        <v/>
      </c>
      <c r="P57" s="82" t="str">
        <f t="shared" si="66"/>
        <v/>
      </c>
      <c r="Q57" s="158" t="str">
        <f t="shared" si="67"/>
        <v/>
      </c>
      <c r="R57" s="269"/>
      <c r="S57" s="174"/>
      <c r="T57" s="41" t="str">
        <f t="shared" si="68"/>
        <v/>
      </c>
      <c r="U57" s="41"/>
      <c r="V57" s="41"/>
      <c r="W57" s="41"/>
      <c r="X57" s="41"/>
      <c r="Y57" s="41"/>
      <c r="Z57" s="41"/>
      <c r="AA57" s="41"/>
      <c r="AB57" s="41"/>
      <c r="AC57" s="41"/>
      <c r="AD57" s="41"/>
      <c r="AE57" s="41"/>
      <c r="AF57" s="41"/>
      <c r="AG57" s="41"/>
      <c r="AH57" s="41"/>
      <c r="AI57" s="41"/>
      <c r="AJ57" s="41"/>
      <c r="AK57" s="41"/>
      <c r="AL57" s="41"/>
      <c r="AM57" s="41"/>
      <c r="AN57" s="41"/>
      <c r="AO57" s="41"/>
      <c r="AP57" s="41"/>
      <c r="AQ57" s="41"/>
      <c r="AR57" s="41"/>
      <c r="AS57" s="41"/>
      <c r="AT57" s="41"/>
      <c r="AU57" s="41"/>
      <c r="AV57" s="41"/>
      <c r="AW57" s="41"/>
      <c r="AX57" s="41"/>
      <c r="AY57" s="41"/>
      <c r="AZ57" s="41"/>
      <c r="BA57" s="41"/>
      <c r="BB57" s="41"/>
      <c r="BC57" s="41"/>
      <c r="BD57" s="41"/>
      <c r="BE57" s="41"/>
      <c r="BF57" s="41"/>
      <c r="BG57" s="41"/>
      <c r="BH57" s="41"/>
      <c r="BI57" s="41"/>
      <c r="BJ57" s="41"/>
      <c r="BK57" s="41"/>
      <c r="BL57" s="41"/>
      <c r="BM57" s="41"/>
      <c r="BN57" s="41"/>
      <c r="BO57" s="41"/>
      <c r="BP57" s="41"/>
      <c r="BQ57" s="41"/>
      <c r="BR57" s="41"/>
      <c r="BS57" s="41"/>
      <c r="BT57" s="41"/>
      <c r="BU57" s="41"/>
      <c r="BV57" s="41"/>
      <c r="BW57" s="41"/>
      <c r="BX57" s="41"/>
      <c r="BY57" s="41"/>
      <c r="BZ57" s="41"/>
      <c r="CA57" s="41"/>
      <c r="CB57" s="41"/>
      <c r="CC57" s="41"/>
      <c r="CD57" s="41"/>
      <c r="CE57" s="41"/>
      <c r="CF57" s="41"/>
      <c r="CG57" s="41"/>
      <c r="CH57" s="41"/>
      <c r="CI57" s="41"/>
      <c r="CJ57" s="41"/>
      <c r="CK57" s="41"/>
      <c r="CL57" s="41"/>
      <c r="CM57" s="41"/>
      <c r="CN57" s="41"/>
      <c r="CO57" s="41"/>
      <c r="CP57" s="41"/>
      <c r="CQ57" s="41"/>
      <c r="CR57" s="41"/>
      <c r="CS57" s="41"/>
      <c r="CT57" s="41"/>
      <c r="CU57" s="41"/>
      <c r="CV57" s="41"/>
      <c r="CW57" s="41"/>
      <c r="CX57" s="41"/>
      <c r="CY57" s="41"/>
      <c r="CZ57" s="41"/>
      <c r="DA57" s="41"/>
      <c r="DB57" s="41"/>
      <c r="DC57" s="41"/>
      <c r="DD57" s="41"/>
      <c r="DE57" s="41"/>
      <c r="DF57" s="41"/>
      <c r="DG57" s="41"/>
      <c r="DH57" s="41"/>
      <c r="DI57" s="41"/>
      <c r="DJ57" s="41"/>
      <c r="DK57" s="41"/>
      <c r="DL57" s="41"/>
      <c r="DM57" s="41"/>
      <c r="DN57" s="41"/>
      <c r="DO57" s="41"/>
      <c r="DP57" s="41"/>
      <c r="DQ57" s="41"/>
      <c r="DR57" s="41"/>
      <c r="DS57" s="41"/>
      <c r="DT57" s="41"/>
      <c r="DU57" s="41"/>
      <c r="DV57" s="41"/>
      <c r="DW57" s="41"/>
      <c r="DX57" s="41"/>
      <c r="DY57" s="41"/>
      <c r="DZ57" s="41"/>
      <c r="EA57" s="41"/>
      <c r="EB57" s="41"/>
      <c r="EC57" s="41"/>
      <c r="ED57" s="41"/>
      <c r="EE57" s="41"/>
      <c r="EF57" s="41"/>
      <c r="EG57" s="41"/>
      <c r="EH57" s="41"/>
      <c r="EI57" s="41"/>
      <c r="EJ57" s="41"/>
      <c r="EK57" s="41"/>
      <c r="EL57" s="41"/>
      <c r="EM57" s="41"/>
      <c r="EN57" s="41"/>
      <c r="EO57" s="41"/>
      <c r="EP57" s="41"/>
      <c r="EQ57" s="41"/>
    </row>
    <row r="58" spans="1:147" x14ac:dyDescent="0.3">
      <c r="A58" s="3" t="s">
        <v>13</v>
      </c>
      <c r="G58" s="9">
        <f>SUM(G51:G57)</f>
        <v>0</v>
      </c>
      <c r="H58" s="9">
        <f>SUM(H51:H57)</f>
        <v>0</v>
      </c>
      <c r="I58" s="31"/>
      <c r="J58" s="36">
        <f>SUM(J51:J57)</f>
        <v>0</v>
      </c>
      <c r="K58" s="209"/>
      <c r="L58" s="209">
        <f>SUM(L51:L57)</f>
        <v>0</v>
      </c>
      <c r="M58" s="36">
        <f>SUM(M51:M57)</f>
        <v>0</v>
      </c>
      <c r="N58" s="33"/>
      <c r="O58" s="209">
        <f>SUM(O51:O57)</f>
        <v>0</v>
      </c>
      <c r="P58" s="36">
        <f>SUM(P51:P57)</f>
        <v>0</v>
      </c>
      <c r="Q58" s="15">
        <f>IF(ISBLANK(A58),"",IF(O58&gt;0,P58/O58,0))</f>
        <v>0</v>
      </c>
      <c r="R58" s="270"/>
    </row>
    <row r="59" spans="1:147" x14ac:dyDescent="0.3">
      <c r="I59" s="31"/>
      <c r="J59" s="36"/>
      <c r="K59" s="209"/>
      <c r="L59" s="209"/>
      <c r="M59" s="36"/>
      <c r="O59" s="209"/>
      <c r="P59" s="36"/>
    </row>
    <row r="60" spans="1:147" x14ac:dyDescent="0.3">
      <c r="A60" s="3" t="s">
        <v>14</v>
      </c>
      <c r="G60" s="17">
        <f>IF($B$4="Fixed Price",RISK!$L$7*(G47+G58),RISK!$N$7*(G47+G58))</f>
        <v>0</v>
      </c>
      <c r="H60" s="120">
        <f>IF(ISBLANK(B6),0,G60*B9)</f>
        <v>0</v>
      </c>
      <c r="I60" s="33"/>
      <c r="J60" s="51">
        <f>IF($B$4="Fixed Price",RISK!$L$7*(J47+J58),RISK!$N$7*(J47+J58))</f>
        <v>0</v>
      </c>
      <c r="K60" s="209"/>
      <c r="L60" s="51">
        <f>IF($B$4="Fixed Price",RISK!$L$7*(L47+L58),RISK!$N$7*(L47+L58))</f>
        <v>0</v>
      </c>
      <c r="M60" s="51">
        <f>IF($B$4="Fixed Price",RISK!$L$7*(M47+M58),RISK!$N$7*(M47+M58))</f>
        <v>0</v>
      </c>
      <c r="O60" s="51">
        <f>IF($B$4="Fixed Price",RISK!$L$7*(O47+O58),RISK!$N$7*(O47+O58))</f>
        <v>0</v>
      </c>
      <c r="P60" s="51">
        <f>IF($B$4="Fixed Price",RISK!$L$7*(P47+P58),RISK!$N$7*(P47+P58))</f>
        <v>0</v>
      </c>
      <c r="Q60" s="15" t="str">
        <f>IF(G60=0,"",P60/O60)</f>
        <v/>
      </c>
      <c r="R60" s="270"/>
    </row>
    <row r="61" spans="1:147" x14ac:dyDescent="0.3">
      <c r="A61" s="3" t="s">
        <v>173</v>
      </c>
      <c r="G61" s="17">
        <f>IF($B$4="Fixed Price",RISK!$M$7*(G47+G58)+RISK!$O$7*(G47+G58),0)</f>
        <v>0</v>
      </c>
      <c r="H61" s="120">
        <f>IF(ISBLANK(B6),0,G61*B9)</f>
        <v>0</v>
      </c>
      <c r="I61" s="33"/>
      <c r="J61" s="17">
        <f>IF($B$4="Fixed Price",RISK!$M$7*(J47+J58)+RISK!$O$7*(J47+J58),0)</f>
        <v>0</v>
      </c>
      <c r="K61" s="209"/>
      <c r="L61" s="17">
        <f>IF($B$4="Fixed Price",RISK!$M$7*(L47+L58)+RISK!$O$7*(L47+L58),0)</f>
        <v>0</v>
      </c>
      <c r="M61" s="17">
        <f>IF($B$4="Fixed Price",RISK!$M$7*(M47+M58)+RISK!$O$7*(M47+M58),0)</f>
        <v>0</v>
      </c>
      <c r="O61" s="17">
        <f>IF($B$4="Fixed Price",RISK!$M$7*(O47+O58)+RISK!$O$7*(O47+O58),0)</f>
        <v>0</v>
      </c>
      <c r="P61" s="17">
        <f>IF($B$4="Fixed Price",RISK!$M$7*(P47+P58)+RISK!$O$7*(P47+P58),0)</f>
        <v>0</v>
      </c>
      <c r="Q61" s="15" t="str">
        <f>IF(G61=0,"",P61/O61)</f>
        <v/>
      </c>
      <c r="R61" s="270"/>
    </row>
    <row r="62" spans="1:147" x14ac:dyDescent="0.3">
      <c r="A62" s="3" t="s">
        <v>172</v>
      </c>
      <c r="G62" s="17">
        <f>IF($B$4="T&amp;M",RISK!$O$7*(G47+G58),0)</f>
        <v>0</v>
      </c>
      <c r="H62" s="120">
        <f>IF(ISBLANK(B6),0,G62*B9)</f>
        <v>0</v>
      </c>
      <c r="I62" s="33"/>
      <c r="J62" s="17">
        <f>IF($B$4="T&amp;M",RISK!$O$7*(J47+J58),0)</f>
        <v>0</v>
      </c>
      <c r="K62" s="209"/>
      <c r="L62" s="17">
        <f>IF($B$4="T&amp;M",RISK!$O$7*(L47+L58),0)</f>
        <v>0</v>
      </c>
      <c r="M62" s="17">
        <f>IF($B$4="T&amp;M",RISK!$O$7*(M47+M58),0)</f>
        <v>0</v>
      </c>
      <c r="O62" s="17">
        <f>IF($B$4="T&amp;M",RISK!$O$7*(O47+O58),0)</f>
        <v>0</v>
      </c>
      <c r="P62" s="17">
        <f>IF($B$4="T&amp;M",RISK!$O$7*(P47+P58),0)</f>
        <v>0</v>
      </c>
      <c r="Q62" s="15" t="str">
        <f>IF(G62=0,"",P62/O62)</f>
        <v/>
      </c>
      <c r="R62" s="270"/>
    </row>
    <row r="63" spans="1:147" x14ac:dyDescent="0.3">
      <c r="A63" s="3" t="s">
        <v>147</v>
      </c>
      <c r="G63" s="17">
        <f>G47+G58+G60+G61+G62</f>
        <v>0</v>
      </c>
      <c r="H63" s="17">
        <f>H47+H58+H60+H61+H62</f>
        <v>0</v>
      </c>
      <c r="I63" s="33"/>
      <c r="J63" s="17">
        <f>J47+J58+J60+J61+J62</f>
        <v>0</v>
      </c>
      <c r="K63" s="209"/>
      <c r="L63" s="17">
        <f>L47+L58+L60+L61+L62</f>
        <v>0</v>
      </c>
      <c r="M63" s="17">
        <f>M47+M58+M60+M62+M73+M61</f>
        <v>0</v>
      </c>
      <c r="O63" s="17">
        <f>O47+O58+O60+O61+O62</f>
        <v>0</v>
      </c>
      <c r="P63" s="17">
        <f>P47+P58+P60+P62+P73+P61</f>
        <v>0</v>
      </c>
      <c r="Q63" s="15">
        <f>IF(ISBLANK(A63),"",IF(O63&gt;0,P63/O63,0))</f>
        <v>0</v>
      </c>
      <c r="R63" s="270"/>
    </row>
    <row r="64" spans="1:147" x14ac:dyDescent="0.3">
      <c r="A64" s="3"/>
      <c r="G64" s="17"/>
      <c r="H64" s="120"/>
      <c r="I64" s="33"/>
      <c r="J64" s="51"/>
      <c r="K64" s="209"/>
      <c r="L64" s="51"/>
      <c r="M64" s="51"/>
      <c r="O64" s="51"/>
      <c r="P64" s="51"/>
      <c r="Q64" s="15"/>
      <c r="R64" s="270"/>
    </row>
    <row r="65" spans="1:147" hidden="1" outlineLevel="1" x14ac:dyDescent="0.3">
      <c r="A65" s="12" t="s">
        <v>145</v>
      </c>
      <c r="B65" s="12"/>
      <c r="C65" s="12"/>
      <c r="D65" s="13" t="s">
        <v>56</v>
      </c>
      <c r="E65" s="13" t="s">
        <v>57</v>
      </c>
      <c r="F65" s="13" t="s">
        <v>149</v>
      </c>
      <c r="G65" s="13" t="s">
        <v>20</v>
      </c>
      <c r="H65" s="119" t="s">
        <v>83</v>
      </c>
      <c r="I65" s="40" t="s">
        <v>10</v>
      </c>
      <c r="J65" s="13" t="s">
        <v>58</v>
      </c>
      <c r="K65" s="206"/>
      <c r="L65" s="218" t="s">
        <v>31</v>
      </c>
      <c r="M65" s="39" t="s">
        <v>21</v>
      </c>
      <c r="N65" s="35" t="s">
        <v>22</v>
      </c>
      <c r="O65" s="218" t="s">
        <v>60</v>
      </c>
      <c r="P65" s="13" t="s">
        <v>32</v>
      </c>
      <c r="Q65" s="13"/>
      <c r="R65" s="267"/>
    </row>
    <row r="66" spans="1:147" hidden="1" outlineLevel="1" x14ac:dyDescent="0.3">
      <c r="A66" s="160"/>
      <c r="B66" s="160"/>
      <c r="C66" s="160"/>
      <c r="D66" s="161"/>
      <c r="E66" s="161"/>
      <c r="F66" s="162"/>
      <c r="G66" s="163" t="str">
        <f>IF(ISBLANK(A66),"",NETWORKDAYS(D66,E66)*F66)</f>
        <v/>
      </c>
      <c r="H66" s="164" t="str">
        <f>IF(ISBLANK(A66),"",G66*$B$9)</f>
        <v/>
      </c>
      <c r="I66" s="165">
        <v>0</v>
      </c>
      <c r="J66" s="80" t="str">
        <f>IF(ISBLANK(A66),"",H66*I66)</f>
        <v/>
      </c>
      <c r="K66" s="213">
        <v>0</v>
      </c>
      <c r="L66" s="221" t="str">
        <f>IF(ISBLANK(A66)," ",(K66*G66*$B$9))</f>
        <v xml:space="preserve"> </v>
      </c>
      <c r="M66" s="80" t="str">
        <f>IF(ISBLANK(A66),"",(I66*G66*8)-L66)</f>
        <v/>
      </c>
      <c r="N66" s="165">
        <v>0</v>
      </c>
      <c r="O66" s="207" t="str">
        <f>IF(ISBLANK(A66),"",G66*N66*$B$9)</f>
        <v/>
      </c>
      <c r="P66" s="80" t="str">
        <f>IF(ISBLANK(A66),"",O66-L66)</f>
        <v/>
      </c>
      <c r="Q66" s="155"/>
      <c r="R66" s="268"/>
      <c r="S66" s="41"/>
      <c r="T66" s="41" t="str">
        <f>IF(ISBLANK(A66),"",CONCATENATE(C66,"-",$B$5))</f>
        <v/>
      </c>
      <c r="X66" s="237"/>
    </row>
    <row r="67" spans="1:147" hidden="1" outlineLevel="1" x14ac:dyDescent="0.3">
      <c r="A67" s="160"/>
      <c r="B67" s="160"/>
      <c r="C67" s="160"/>
      <c r="D67" s="161"/>
      <c r="E67" s="161"/>
      <c r="F67" s="162"/>
      <c r="G67" s="163" t="str">
        <f>IF(ISBLANK(A67),"",NETWORKDAYS(D67,E67)*F67)</f>
        <v/>
      </c>
      <c r="H67" s="164" t="str">
        <f>IF(ISBLANK(A67),"",G67*$B$9)</f>
        <v/>
      </c>
      <c r="I67" s="165">
        <v>0</v>
      </c>
      <c r="J67" s="80" t="str">
        <f>IF(ISBLANK(A67),"",H67*I67)</f>
        <v/>
      </c>
      <c r="K67" s="213">
        <v>0</v>
      </c>
      <c r="L67" s="221" t="str">
        <f>IF(ISBLANK(A67)," ",(K67*G67*$B$9))</f>
        <v xml:space="preserve"> </v>
      </c>
      <c r="M67" s="80" t="str">
        <f>IF(ISBLANK(A67),"",J67-L67)</f>
        <v/>
      </c>
      <c r="N67" s="165">
        <v>0</v>
      </c>
      <c r="O67" s="207" t="str">
        <f>IF(ISBLANK(A67),"",G67*N67*$B$9)</f>
        <v/>
      </c>
      <c r="P67" s="80" t="str">
        <f>IF(ISBLANK(A67),"",O67-L67)</f>
        <v/>
      </c>
      <c r="Q67" s="155"/>
      <c r="R67" s="268"/>
      <c r="S67" s="41"/>
      <c r="T67" s="41" t="str">
        <f>IF(ISBLANK(A67),"",CONCATENATE(C67,"-",$B$5))</f>
        <v/>
      </c>
    </row>
    <row r="68" spans="1:147" hidden="1" outlineLevel="1" x14ac:dyDescent="0.3">
      <c r="A68" s="160"/>
      <c r="B68" s="160"/>
      <c r="C68" s="160"/>
      <c r="D68" s="161"/>
      <c r="E68" s="161"/>
      <c r="F68" s="162"/>
      <c r="G68" s="163" t="str">
        <f>IF(ISBLANK(A68),"",NETWORKDAYS(D68,E68)*F68)</f>
        <v/>
      </c>
      <c r="H68" s="164" t="str">
        <f>IF(ISBLANK(A68),"",G68*$B$9)</f>
        <v/>
      </c>
      <c r="I68" s="165">
        <v>0</v>
      </c>
      <c r="J68" s="80" t="str">
        <f>IF(ISBLANK(A68),"",H68*I68)</f>
        <v/>
      </c>
      <c r="K68" s="213">
        <v>0</v>
      </c>
      <c r="L68" s="221" t="str">
        <f>IF(ISBLANK(A68)," ",(K68*G68*$B$9))</f>
        <v xml:space="preserve"> </v>
      </c>
      <c r="M68" s="80" t="str">
        <f>IF(ISBLANK(A68),"",J68-L68)</f>
        <v/>
      </c>
      <c r="N68" s="165">
        <v>0</v>
      </c>
      <c r="O68" s="207" t="str">
        <f>IF(ISBLANK(A68),"",G68*N68*$B$9)</f>
        <v/>
      </c>
      <c r="P68" s="80" t="str">
        <f>IF(ISBLANK(A68),"",O68-L68)</f>
        <v/>
      </c>
      <c r="Q68" s="155" t="str">
        <f>IF(ISBLANK(A68),"",P68/O68)</f>
        <v/>
      </c>
      <c r="R68" s="268"/>
      <c r="S68" s="41"/>
      <c r="T68" s="41" t="str">
        <f>IF(ISBLANK(A68),"",CONCATENATE(C68,"-",$B$5))</f>
        <v/>
      </c>
    </row>
    <row r="69" spans="1:147" hidden="1" outlineLevel="1" x14ac:dyDescent="0.3">
      <c r="A69" s="160"/>
      <c r="B69" s="160"/>
      <c r="C69" s="160"/>
      <c r="D69" s="161"/>
      <c r="E69" s="161"/>
      <c r="F69" s="162"/>
      <c r="G69" s="163" t="str">
        <f>IF(ISBLANK(A69),"",NETWORKDAYS(D69,E69)*F69)</f>
        <v/>
      </c>
      <c r="H69" s="164" t="str">
        <f>IF(ISBLANK(A69),"",G69*$B$9)</f>
        <v/>
      </c>
      <c r="I69" s="165">
        <v>0</v>
      </c>
      <c r="J69" s="80" t="str">
        <f>IF(ISBLANK(A69),"",H69*I69)</f>
        <v/>
      </c>
      <c r="K69" s="213">
        <v>0</v>
      </c>
      <c r="L69" s="221" t="str">
        <f>IF(ISBLANK(A69)," ",(K69*G69*$B$9))</f>
        <v xml:space="preserve"> </v>
      </c>
      <c r="M69" s="80" t="str">
        <f>IF(ISBLANK(A69),"",J69-L69)</f>
        <v/>
      </c>
      <c r="N69" s="165">
        <v>0</v>
      </c>
      <c r="O69" s="207" t="str">
        <f>IF(ISBLANK(A69),"",G69*N69*$B$9)</f>
        <v/>
      </c>
      <c r="P69" s="80" t="str">
        <f>IF(ISBLANK(A69),"",O69-L69)</f>
        <v/>
      </c>
      <c r="Q69" s="155" t="str">
        <f>IF(ISBLANK(A69),"",P69/O69)</f>
        <v/>
      </c>
      <c r="R69" s="268"/>
      <c r="S69" s="41"/>
      <c r="T69" s="41" t="str">
        <f>IF(ISBLANK(A69),"",CONCATENATE(C69,"-",$B$5))</f>
        <v/>
      </c>
    </row>
    <row r="70" spans="1:147" ht="14.4" hidden="1" outlineLevel="1" thickBot="1" x14ac:dyDescent="0.35">
      <c r="A70" s="167"/>
      <c r="B70" s="167"/>
      <c r="C70" s="167"/>
      <c r="D70" s="168"/>
      <c r="E70" s="168"/>
      <c r="F70" s="169"/>
      <c r="G70" s="170" t="str">
        <f>IF(ISBLANK(A70),"",NETWORKDAYS(D70,E70)*F70)</f>
        <v/>
      </c>
      <c r="H70" s="171" t="str">
        <f>IF(ISBLANK(A70),"",G70*$B$9)</f>
        <v/>
      </c>
      <c r="I70" s="172">
        <v>0</v>
      </c>
      <c r="J70" s="82" t="str">
        <f>IF(ISBLANK(A70),"",H70*I70)</f>
        <v/>
      </c>
      <c r="K70" s="214">
        <v>0</v>
      </c>
      <c r="L70" s="220" t="str">
        <f>IF(ISBLANK(A70)," ",(K70*G70*$B$9))</f>
        <v xml:space="preserve"> </v>
      </c>
      <c r="M70" s="82" t="str">
        <f>IF(ISBLANK(A70),"",J70-L70)</f>
        <v/>
      </c>
      <c r="N70" s="172">
        <v>0</v>
      </c>
      <c r="O70" s="208" t="str">
        <f>IF(ISBLANK(A70),"",G70*N70*$B$9)</f>
        <v/>
      </c>
      <c r="P70" s="82" t="str">
        <f>IF(ISBLANK(A70),"",O70-L70)</f>
        <v/>
      </c>
      <c r="Q70" s="158" t="str">
        <f>IF(ISBLANK(A70),"",P70/O70)</f>
        <v/>
      </c>
      <c r="R70" s="269"/>
      <c r="S70" s="174"/>
      <c r="T70" s="41" t="str">
        <f>IF(ISBLANK(A70),"",CONCATENATE(C70,"-",$B$5))</f>
        <v/>
      </c>
    </row>
    <row r="71" spans="1:147" hidden="1" x14ac:dyDescent="0.3">
      <c r="A71" s="3" t="s">
        <v>146</v>
      </c>
      <c r="G71" s="17">
        <f>SUM(G66:G70)</f>
        <v>0</v>
      </c>
      <c r="H71" s="17">
        <f>SUM(H66:H70)</f>
        <v>0</v>
      </c>
      <c r="I71" s="33"/>
      <c r="J71" s="51"/>
      <c r="K71" s="209"/>
      <c r="L71" s="51"/>
      <c r="M71" s="51"/>
      <c r="O71" s="51"/>
      <c r="P71" s="51"/>
      <c r="Q71" s="15"/>
      <c r="R71" s="270"/>
    </row>
    <row r="72" spans="1:147" hidden="1" x14ac:dyDescent="0.3">
      <c r="A72" s="3"/>
      <c r="G72" s="17"/>
      <c r="H72" s="120"/>
      <c r="I72" s="33"/>
      <c r="J72" s="123"/>
      <c r="K72" s="209"/>
      <c r="L72" s="51"/>
      <c r="M72" s="51"/>
      <c r="O72" s="123"/>
      <c r="P72" s="51"/>
      <c r="Q72" s="15" t="str">
        <f>IF(G72=0,"",P72/O72)</f>
        <v/>
      </c>
      <c r="R72" s="270"/>
    </row>
    <row r="73" spans="1:147" s="11" customFormat="1" x14ac:dyDescent="0.3">
      <c r="A73" s="12" t="s">
        <v>16</v>
      </c>
      <c r="H73" s="121"/>
      <c r="I73" s="32"/>
      <c r="J73" s="37"/>
      <c r="K73" s="215"/>
      <c r="L73" s="215">
        <f>'Non-Reimbursable Expenses'!B34</f>
        <v>0</v>
      </c>
      <c r="M73" s="37"/>
      <c r="N73" s="32"/>
      <c r="O73" s="215">
        <f>IF($B$4="Fixed Price",L73,0)</f>
        <v>0</v>
      </c>
      <c r="P73" s="37"/>
      <c r="Q73" s="18"/>
      <c r="R73" s="271"/>
      <c r="T73" s="41"/>
      <c r="U73" s="41"/>
      <c r="V73" s="41"/>
      <c r="W73" s="41"/>
      <c r="X73" s="41"/>
      <c r="Y73" s="41"/>
      <c r="Z73" s="41"/>
      <c r="AA73" s="41"/>
      <c r="AB73" s="41"/>
      <c r="AC73" s="41"/>
      <c r="AD73" s="41"/>
      <c r="AE73" s="41"/>
      <c r="AF73" s="41"/>
      <c r="AG73" s="41"/>
      <c r="AH73" s="41"/>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c r="BJ73" s="41"/>
      <c r="BK73" s="41"/>
      <c r="BL73" s="41"/>
      <c r="BM73" s="41"/>
      <c r="BN73" s="41"/>
      <c r="BO73" s="41"/>
      <c r="BP73" s="41"/>
      <c r="BQ73" s="41"/>
      <c r="BR73" s="41"/>
      <c r="BS73" s="41"/>
      <c r="BT73" s="41"/>
      <c r="BU73" s="41"/>
      <c r="BV73" s="41"/>
      <c r="BW73" s="41"/>
      <c r="BX73" s="41"/>
      <c r="BY73" s="41"/>
      <c r="BZ73" s="41"/>
      <c r="CA73" s="41"/>
      <c r="CB73" s="41"/>
      <c r="CC73" s="41"/>
      <c r="CD73" s="41"/>
      <c r="CE73" s="41"/>
      <c r="CF73" s="41"/>
      <c r="CG73" s="41"/>
      <c r="CH73" s="41"/>
      <c r="CI73" s="41"/>
      <c r="CJ73" s="41"/>
      <c r="CK73" s="41"/>
      <c r="CL73" s="41"/>
      <c r="CM73" s="41"/>
      <c r="CN73" s="41"/>
      <c r="CO73" s="41"/>
      <c r="CP73" s="41"/>
      <c r="CQ73" s="41"/>
      <c r="CR73" s="41"/>
      <c r="CS73" s="41"/>
      <c r="CT73" s="41"/>
      <c r="CU73" s="41"/>
      <c r="CV73" s="41"/>
      <c r="CW73" s="41"/>
      <c r="CX73" s="41"/>
      <c r="CY73" s="41"/>
      <c r="CZ73" s="41"/>
      <c r="DA73" s="41"/>
      <c r="DB73" s="41"/>
      <c r="DC73" s="41"/>
      <c r="DD73" s="41"/>
      <c r="DE73" s="41"/>
      <c r="DF73" s="41"/>
      <c r="DG73" s="41"/>
      <c r="DH73" s="41"/>
      <c r="DI73" s="41"/>
      <c r="DJ73" s="41"/>
      <c r="DK73" s="41"/>
      <c r="DL73" s="41"/>
      <c r="DM73" s="41"/>
      <c r="DN73" s="41"/>
      <c r="DO73" s="41"/>
      <c r="DP73" s="41"/>
      <c r="DQ73" s="41"/>
      <c r="DR73" s="41"/>
      <c r="DS73" s="41"/>
      <c r="DT73" s="41"/>
      <c r="DU73" s="41"/>
      <c r="DV73" s="41"/>
      <c r="DW73" s="41"/>
      <c r="DX73" s="41"/>
      <c r="DY73" s="41"/>
      <c r="DZ73" s="41"/>
      <c r="EA73" s="41"/>
      <c r="EB73" s="41"/>
      <c r="EC73" s="41"/>
      <c r="ED73" s="41"/>
      <c r="EE73" s="41"/>
      <c r="EF73" s="41"/>
      <c r="EG73" s="41"/>
      <c r="EH73" s="41"/>
      <c r="EI73" s="41"/>
      <c r="EJ73" s="41"/>
      <c r="EK73" s="41"/>
      <c r="EL73" s="41"/>
      <c r="EM73" s="41"/>
      <c r="EN73" s="41"/>
      <c r="EO73" s="41"/>
      <c r="EP73" s="41"/>
      <c r="EQ73" s="41"/>
    </row>
    <row r="74" spans="1:147" ht="15.6" x14ac:dyDescent="0.3">
      <c r="A74" s="14" t="s">
        <v>17</v>
      </c>
      <c r="G74" s="9">
        <f>G63+G71</f>
        <v>0</v>
      </c>
      <c r="H74" s="9">
        <f>H63+H71</f>
        <v>0</v>
      </c>
      <c r="I74" s="31"/>
      <c r="J74" s="36">
        <f>J63</f>
        <v>0</v>
      </c>
      <c r="K74" s="209"/>
      <c r="L74" s="209">
        <f>L63+L73</f>
        <v>0</v>
      </c>
      <c r="M74" s="36">
        <f>M63</f>
        <v>0</v>
      </c>
      <c r="N74" s="33"/>
      <c r="O74" s="209">
        <f>O63+O73</f>
        <v>0</v>
      </c>
      <c r="P74" s="36">
        <f>P63</f>
        <v>0</v>
      </c>
      <c r="Q74" s="15">
        <f>IF(ISBLANK(A74),"",IF(O74&gt;0,P74/O74,0))</f>
        <v>0</v>
      </c>
      <c r="R74" s="270"/>
    </row>
    <row r="75" spans="1:147" ht="4.5" customHeight="1" thickBot="1" x14ac:dyDescent="0.35">
      <c r="I75" s="31"/>
      <c r="J75" s="36"/>
      <c r="K75" s="209"/>
      <c r="L75" s="209"/>
      <c r="M75" s="36"/>
      <c r="O75" s="209"/>
      <c r="P75" s="36"/>
    </row>
    <row r="76" spans="1:147" ht="15.75" customHeight="1" thickBot="1" x14ac:dyDescent="0.35">
      <c r="A76" s="64" t="s">
        <v>62</v>
      </c>
      <c r="B76" s="65"/>
      <c r="C76" s="65"/>
      <c r="D76" s="65"/>
      <c r="E76" s="65"/>
      <c r="F76" s="65"/>
      <c r="G76" s="66"/>
      <c r="H76" s="122"/>
      <c r="I76" s="67"/>
      <c r="J76" s="68"/>
      <c r="K76" s="216"/>
      <c r="L76" s="216"/>
      <c r="M76" s="68"/>
      <c r="N76" s="67"/>
      <c r="O76" s="222">
        <f>O74</f>
        <v>0</v>
      </c>
      <c r="P76" s="44">
        <f>O76-L74</f>
        <v>0</v>
      </c>
      <c r="Q76" s="45">
        <f>IF(ISBLANK(A76),"",IF(O76&gt;0,P76/O76,0))</f>
        <v>0</v>
      </c>
      <c r="R76" s="272"/>
    </row>
    <row r="77" spans="1:147" ht="6" customHeight="1" x14ac:dyDescent="0.3">
      <c r="I77" s="31"/>
      <c r="J77" s="36"/>
      <c r="K77" s="209"/>
      <c r="L77" s="209"/>
      <c r="M77" s="36"/>
      <c r="O77" s="209"/>
      <c r="P77" s="36"/>
    </row>
    <row r="78" spans="1:147" outlineLevel="1" x14ac:dyDescent="0.3">
      <c r="A78" s="2" t="str">
        <f>IF($B$8="Estimate","Low Estimate","")</f>
        <v/>
      </c>
      <c r="G78" s="9">
        <f>G74*(1-$F$8)</f>
        <v>0</v>
      </c>
      <c r="H78" s="9">
        <f>H74*(1-$F$8)</f>
        <v>0</v>
      </c>
      <c r="I78" s="31"/>
      <c r="J78" s="36">
        <f>J74*(1-$F$8)</f>
        <v>0</v>
      </c>
      <c r="K78" s="209"/>
      <c r="L78" s="209">
        <f>L74*(1-$F$8)</f>
        <v>0</v>
      </c>
      <c r="M78" s="36">
        <f>M74*(1-$F$8)</f>
        <v>0</v>
      </c>
      <c r="N78" s="50"/>
      <c r="O78" s="209">
        <f>O74*(1-$F$8)</f>
        <v>0</v>
      </c>
      <c r="P78" s="36">
        <f>P74*(1-$F$8)</f>
        <v>0</v>
      </c>
      <c r="Q78" s="15">
        <f>IF(ISBLANK(A78),"",IF(O78&gt;0,P78/O78,0))</f>
        <v>0</v>
      </c>
      <c r="R78" s="270"/>
    </row>
    <row r="79" spans="1:147" outlineLevel="1" x14ac:dyDescent="0.3">
      <c r="A79" s="2" t="str">
        <f>IF($B$8="Estimate","High Estimate","")</f>
        <v/>
      </c>
      <c r="G79" s="9">
        <f>G74*(1+$F$9)</f>
        <v>0</v>
      </c>
      <c r="H79" s="9">
        <f>H74*(1+$F$9)</f>
        <v>0</v>
      </c>
      <c r="I79" s="31"/>
      <c r="J79" s="36">
        <f>J74*(1+$F$9)</f>
        <v>0</v>
      </c>
      <c r="K79" s="209"/>
      <c r="L79" s="209">
        <f>L74*(1+$F$9)</f>
        <v>0</v>
      </c>
      <c r="M79" s="36">
        <f>M74*(1+$F$9)</f>
        <v>0</v>
      </c>
      <c r="N79" s="50"/>
      <c r="O79" s="209">
        <f>O74*(1+$F$9)</f>
        <v>0</v>
      </c>
      <c r="P79" s="36">
        <f>P74*(1+$F$9)</f>
        <v>0</v>
      </c>
      <c r="Q79" s="15">
        <f>IF(ISBLANK(A79),"",IF(O79&gt;0,P79/O79,0))</f>
        <v>0</v>
      </c>
      <c r="R79" s="270"/>
    </row>
    <row r="80" spans="1:147" x14ac:dyDescent="0.3">
      <c r="I80" s="31"/>
    </row>
  </sheetData>
  <sheetProtection sheet="1" objects="1" scenarios="1" insertRows="0" sort="0" autoFilter="0" pivotTables="0"/>
  <mergeCells count="2">
    <mergeCell ref="A47:B47"/>
    <mergeCell ref="E3:I3"/>
  </mergeCells>
  <dataValidations count="12">
    <dataValidation type="decimal" allowBlank="1" showInputMessage="1" showErrorMessage="1" sqref="F14:F46">
      <formula1>0</formula1>
      <formula2>9</formula2>
    </dataValidation>
    <dataValidation type="list" allowBlank="1" showInputMessage="1" showErrorMessage="1" sqref="C14:C46">
      <formula1>"APAC, EU, NA, SELECT ONE, ERROR"</formula1>
    </dataValidation>
    <dataValidation type="list" allowBlank="1" showInputMessage="1" showErrorMessage="1" sqref="B8">
      <formula1>"Quote, Estimate, Select One"</formula1>
    </dataValidation>
    <dataValidation type="list" allowBlank="1" showInputMessage="1" showErrorMessage="1" sqref="B4">
      <formula1>"T&amp;M, Fixed Price, SELECT ONE"</formula1>
    </dataValidation>
    <dataValidation type="list" showInputMessage="1" showErrorMessage="1" sqref="B10">
      <formula1>"SELECT ONE, APAC, EU, NA"</formula1>
    </dataValidation>
    <dataValidation type="date" operator="greaterThanOrEqual" allowBlank="1" showInputMessage="1" showErrorMessage="1" sqref="D66:D67 D68:E70 D52:E57 D51 D14:D46">
      <formula1>38353</formula1>
    </dataValidation>
    <dataValidation type="whole" showInputMessage="1" showErrorMessage="1" sqref="B9:C9">
      <formula1>8</formula1>
      <formula2>9</formula2>
    </dataValidation>
    <dataValidation type="decimal" allowBlank="1" showInputMessage="1" showErrorMessage="1" sqref="F51:F57">
      <formula1>0</formula1>
      <formula2>5</formula2>
    </dataValidation>
    <dataValidation type="date" operator="greaterThan" allowBlank="1" showInputMessage="1" showErrorMessage="1" sqref="E66:E67 E51 E14:E46">
      <formula1>38353</formula1>
    </dataValidation>
    <dataValidation type="list" showInputMessage="1" showErrorMessage="1" sqref="C4">
      <formula1>"T&amp;M, Fixed Price, SELECT ONE"</formula1>
    </dataValidation>
    <dataValidation type="list" showInputMessage="1" showErrorMessage="1" sqref="C8">
      <formula1>"Quote, Estimate, SELECT ONE"</formula1>
    </dataValidation>
    <dataValidation type="decimal" allowBlank="1" showInputMessage="1" showErrorMessage="1" sqref="F66">
      <formula1>0</formula1>
      <formula2>1</formula2>
    </dataValidation>
  </dataValidations>
  <pageMargins left="0.75" right="0.75" top="1" bottom="1" header="0.5" footer="0.5"/>
  <pageSetup scale="57" fitToHeight="5" orientation="landscape"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gsrates!$A$60:$A$96</xm:f>
          </x14:formula1>
          <xm:sqref>A14:A46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A1:ER57"/>
  <sheetViews>
    <sheetView workbookViewId="0">
      <pane xSplit="2" ySplit="13" topLeftCell="D14" activePane="bottomRight" state="frozen"/>
      <selection activeCell="A5" sqref="A5:B10"/>
      <selection pane="topRight" activeCell="A5" sqref="A5:B10"/>
      <selection pane="bottomLeft" activeCell="A5" sqref="A5:B10"/>
      <selection pane="bottomRight" activeCell="B6" sqref="B6"/>
    </sheetView>
  </sheetViews>
  <sheetFormatPr defaultColWidth="9.33203125" defaultRowHeight="13.8" outlineLevelRow="1" x14ac:dyDescent="0.3"/>
  <cols>
    <col min="1" max="1" width="30.33203125" style="2" customWidth="1"/>
    <col min="2" max="2" width="15.109375" style="2" bestFit="1" customWidth="1"/>
    <col min="3" max="3" width="15.109375" style="2" hidden="1" customWidth="1"/>
    <col min="4" max="4" width="10.44140625" style="2" customWidth="1"/>
    <col min="5" max="5" width="10.6640625" style="2" customWidth="1"/>
    <col min="6" max="6" width="13" style="2" bestFit="1" customWidth="1"/>
    <col min="7" max="7" width="11" style="2" bestFit="1" customWidth="1"/>
    <col min="8" max="8" width="11" style="116" customWidth="1"/>
    <col min="9" max="9" width="13.6640625" style="2" customWidth="1"/>
    <col min="10" max="10" width="15" style="2" bestFit="1" customWidth="1"/>
    <col min="11" max="11" width="12.33203125" style="203" customWidth="1"/>
    <col min="12" max="12" width="11.44140625" style="203" customWidth="1"/>
    <col min="13" max="13" width="11.44140625" style="2" customWidth="1"/>
    <col min="14" max="14" width="10.77734375" style="31" customWidth="1"/>
    <col min="15" max="15" width="14.33203125" style="203" customWidth="1"/>
    <col min="16" max="16" width="11.44140625" style="2" customWidth="1"/>
    <col min="17" max="17" width="10" style="2" customWidth="1"/>
    <col min="18" max="18" width="11.109375" style="2" customWidth="1"/>
    <col min="19" max="19" width="10.77734375" style="260" customWidth="1"/>
    <col min="20" max="20" width="9.33203125" style="2"/>
    <col min="21" max="21" width="9.33203125" style="41" customWidth="1"/>
    <col min="22" max="22" width="9.33203125" style="41"/>
    <col min="23" max="23" width="27.6640625" style="41" bestFit="1" customWidth="1"/>
    <col min="24" max="24" width="12.109375" style="41" customWidth="1"/>
    <col min="25" max="25" width="28.109375" style="41" hidden="1" customWidth="1"/>
    <col min="26" max="148" width="9.33203125" style="41"/>
    <col min="149" max="16384" width="9.33203125" style="2"/>
  </cols>
  <sheetData>
    <row r="1" spans="1:148" x14ac:dyDescent="0.3">
      <c r="A1" s="2" t="s">
        <v>0</v>
      </c>
      <c r="B1" s="139" t="str">
        <f>IF(ISBLANK(Summary!B1)," ",Summary!B1)</f>
        <v>&lt;Enter Account Name&gt;</v>
      </c>
      <c r="C1" s="141"/>
    </row>
    <row r="2" spans="1:148" x14ac:dyDescent="0.3">
      <c r="A2" s="2" t="s">
        <v>164</v>
      </c>
      <c r="B2" s="139" t="str">
        <f>IF(ISBLANK(Summary!B3)," ",Summary!B3)</f>
        <v>NEW ECR</v>
      </c>
      <c r="C2" s="141"/>
      <c r="W2" s="42"/>
      <c r="Y2" s="41" t="s">
        <v>99</v>
      </c>
    </row>
    <row r="3" spans="1:148" x14ac:dyDescent="0.3">
      <c r="A3" s="2" t="s">
        <v>2</v>
      </c>
      <c r="B3" s="2" t="s">
        <v>97</v>
      </c>
      <c r="C3" s="127"/>
      <c r="G3" s="127"/>
      <c r="H3" s="223"/>
      <c r="I3" s="127"/>
      <c r="W3" s="42"/>
      <c r="Y3" s="41" t="s">
        <v>100</v>
      </c>
    </row>
    <row r="4" spans="1:148" x14ac:dyDescent="0.3">
      <c r="A4" s="2" t="s">
        <v>3</v>
      </c>
      <c r="B4" s="139" t="s">
        <v>18</v>
      </c>
      <c r="C4" s="142"/>
      <c r="W4" s="42"/>
      <c r="Y4" s="41" t="s">
        <v>169</v>
      </c>
    </row>
    <row r="5" spans="1:148" x14ac:dyDescent="0.3">
      <c r="A5" s="2" t="s">
        <v>150</v>
      </c>
      <c r="B5" s="99" t="str">
        <f>IF(ISBLANK(Summary!B6),"ADD on SUMMARY tab",Summary!B6)</f>
        <v>NA</v>
      </c>
      <c r="C5" s="99"/>
      <c r="G5" s="125"/>
      <c r="W5" s="42"/>
      <c r="Y5" s="41" t="s">
        <v>101</v>
      </c>
    </row>
    <row r="6" spans="1:148" x14ac:dyDescent="0.3">
      <c r="A6" s="2" t="s">
        <v>4</v>
      </c>
      <c r="B6" s="88"/>
      <c r="C6" s="143"/>
      <c r="D6" s="4" t="str">
        <f>IF(B6&gt;MIN(D14:D34),"Staffing Starts before this date!",IF(B6&lt;MIN(D14:D34),"No staffing on start date!",""))</f>
        <v/>
      </c>
      <c r="E6"/>
      <c r="F6"/>
      <c r="G6"/>
      <c r="H6" s="117"/>
      <c r="I6"/>
      <c r="J6"/>
      <c r="K6" s="204"/>
      <c r="L6" s="204"/>
      <c r="M6"/>
      <c r="N6" s="50"/>
      <c r="O6" s="204"/>
      <c r="W6" s="42"/>
      <c r="Y6" s="41" t="s">
        <v>102</v>
      </c>
    </row>
    <row r="7" spans="1:148" x14ac:dyDescent="0.3">
      <c r="A7" s="2" t="s">
        <v>5</v>
      </c>
      <c r="B7" s="235">
        <f>MAX(E14:E23)</f>
        <v>0</v>
      </c>
      <c r="C7" s="143"/>
      <c r="D7" s="4" t="str">
        <f>IF(B7&gt;MAX(E14:E34),"Staffing ends before project end date!",IF(B7&lt;MAX(E14:E34),"Staffing continues after end date!",""))</f>
        <v/>
      </c>
      <c r="E7"/>
      <c r="F7"/>
      <c r="G7"/>
      <c r="H7" s="117"/>
      <c r="I7"/>
      <c r="J7"/>
      <c r="K7" s="204"/>
      <c r="L7" s="204"/>
      <c r="M7"/>
      <c r="N7" s="50"/>
      <c r="O7" s="204"/>
      <c r="W7" s="42"/>
      <c r="Y7" s="41" t="s">
        <v>103</v>
      </c>
    </row>
    <row r="8" spans="1:148" x14ac:dyDescent="0.3">
      <c r="A8" s="2" t="s">
        <v>6</v>
      </c>
      <c r="B8" s="139" t="s">
        <v>242</v>
      </c>
      <c r="C8" s="142"/>
      <c r="E8" s="2" t="s">
        <v>160</v>
      </c>
      <c r="F8" s="89">
        <v>0.05</v>
      </c>
      <c r="W8" s="42"/>
      <c r="Y8" s="41" t="s">
        <v>151</v>
      </c>
    </row>
    <row r="9" spans="1:148" x14ac:dyDescent="0.3">
      <c r="A9" s="2" t="s">
        <v>84</v>
      </c>
      <c r="B9" s="126">
        <v>8</v>
      </c>
      <c r="C9" s="144"/>
      <c r="E9" s="2" t="s">
        <v>159</v>
      </c>
      <c r="F9" s="89">
        <v>0.2</v>
      </c>
      <c r="W9" s="42"/>
      <c r="Y9" s="41" t="s">
        <v>170</v>
      </c>
    </row>
    <row r="10" spans="1:148" x14ac:dyDescent="0.3">
      <c r="A10" s="2" t="s">
        <v>72</v>
      </c>
      <c r="B10" s="154" t="str">
        <f>IF(ISBLANK(Summary!B14),"SELECT ONE",Summary!B14)</f>
        <v>USD</v>
      </c>
      <c r="Y10" s="41" t="s">
        <v>104</v>
      </c>
    </row>
    <row r="11" spans="1:148" x14ac:dyDescent="0.3">
      <c r="Y11" s="41" t="s">
        <v>105</v>
      </c>
    </row>
    <row r="12" spans="1:148" x14ac:dyDescent="0.3">
      <c r="A12" s="3"/>
      <c r="B12" s="3"/>
      <c r="C12" s="3"/>
      <c r="D12" s="5"/>
      <c r="E12" s="5"/>
      <c r="F12" s="5"/>
      <c r="G12" s="6"/>
      <c r="H12" s="118"/>
      <c r="I12" s="6"/>
      <c r="J12" s="6"/>
      <c r="K12" s="205"/>
      <c r="L12" s="205"/>
      <c r="M12" s="6"/>
      <c r="N12" s="34" t="s">
        <v>85</v>
      </c>
      <c r="O12" s="205"/>
      <c r="P12" s="6"/>
      <c r="Q12" s="6"/>
      <c r="R12" s="6"/>
      <c r="Y12" s="41" t="s">
        <v>106</v>
      </c>
    </row>
    <row r="13" spans="1:148" s="3" customFormat="1" x14ac:dyDescent="0.3">
      <c r="A13" s="12" t="s">
        <v>54</v>
      </c>
      <c r="B13" s="12" t="s">
        <v>55</v>
      </c>
      <c r="C13" s="12" t="s">
        <v>157</v>
      </c>
      <c r="D13" s="13" t="s">
        <v>56</v>
      </c>
      <c r="E13" s="13" t="s">
        <v>57</v>
      </c>
      <c r="F13" s="13" t="s">
        <v>7</v>
      </c>
      <c r="G13" s="13" t="s">
        <v>20</v>
      </c>
      <c r="H13" s="119" t="s">
        <v>83</v>
      </c>
      <c r="I13" s="35" t="s">
        <v>10</v>
      </c>
      <c r="J13" s="13" t="s">
        <v>58</v>
      </c>
      <c r="K13" s="206" t="s">
        <v>59</v>
      </c>
      <c r="L13" s="217" t="s">
        <v>31</v>
      </c>
      <c r="M13" s="13" t="s">
        <v>21</v>
      </c>
      <c r="N13" s="35" t="s">
        <v>22</v>
      </c>
      <c r="O13" s="217" t="s">
        <v>60</v>
      </c>
      <c r="P13" s="13" t="s">
        <v>32</v>
      </c>
      <c r="Q13" s="13" t="s">
        <v>23</v>
      </c>
      <c r="R13" s="13" t="s">
        <v>24</v>
      </c>
      <c r="S13" s="385"/>
      <c r="U13" s="43"/>
      <c r="V13" s="43"/>
      <c r="W13" s="43"/>
      <c r="X13" s="43"/>
      <c r="Y13" s="41" t="s">
        <v>143</v>
      </c>
      <c r="Z13" s="43"/>
      <c r="AA13" s="43"/>
      <c r="AB13" s="43"/>
      <c r="AC13" s="43"/>
      <c r="AD13" s="43"/>
      <c r="AE13" s="43"/>
      <c r="AF13" s="43"/>
      <c r="AG13" s="43"/>
      <c r="AH13" s="43"/>
      <c r="AI13" s="43"/>
      <c r="AJ13" s="43"/>
      <c r="AK13" s="43"/>
      <c r="AL13" s="43"/>
      <c r="AM13" s="43"/>
      <c r="AN13" s="43"/>
      <c r="AO13" s="43"/>
      <c r="AP13" s="43"/>
      <c r="AQ13" s="43"/>
      <c r="AR13" s="43"/>
      <c r="AS13" s="43"/>
      <c r="AT13" s="43"/>
      <c r="AU13" s="43"/>
      <c r="AV13" s="43"/>
      <c r="AW13" s="43"/>
      <c r="AX13" s="43"/>
      <c r="AY13" s="43"/>
      <c r="AZ13" s="43"/>
      <c r="BA13" s="43"/>
      <c r="BB13" s="43"/>
      <c r="BC13" s="43"/>
      <c r="BD13" s="43"/>
      <c r="BE13" s="43"/>
      <c r="BF13" s="43"/>
      <c r="BG13" s="43"/>
      <c r="BH13" s="43"/>
      <c r="BI13" s="43"/>
      <c r="BJ13" s="43"/>
      <c r="BK13" s="43"/>
      <c r="BL13" s="43"/>
      <c r="BM13" s="43"/>
      <c r="BN13" s="43"/>
      <c r="BO13" s="43"/>
      <c r="BP13" s="43"/>
      <c r="BQ13" s="43"/>
      <c r="BR13" s="43"/>
      <c r="BS13" s="43"/>
      <c r="BT13" s="43"/>
      <c r="BU13" s="43"/>
      <c r="BV13" s="43"/>
      <c r="BW13" s="43"/>
      <c r="BX13" s="43"/>
      <c r="BY13" s="43"/>
      <c r="BZ13" s="43"/>
      <c r="CA13" s="43"/>
      <c r="CB13" s="43"/>
      <c r="CC13" s="43"/>
      <c r="CD13" s="43"/>
      <c r="CE13" s="43"/>
      <c r="CF13" s="43"/>
      <c r="CG13" s="43"/>
      <c r="CH13" s="43"/>
      <c r="CI13" s="43"/>
      <c r="CJ13" s="43"/>
      <c r="CK13" s="43"/>
      <c r="CL13" s="43"/>
      <c r="CM13" s="43"/>
      <c r="CN13" s="43"/>
      <c r="CO13" s="43"/>
      <c r="CP13" s="43"/>
      <c r="CQ13" s="43"/>
      <c r="CR13" s="43"/>
      <c r="CS13" s="43"/>
      <c r="CT13" s="43"/>
      <c r="CU13" s="43"/>
      <c r="CV13" s="43"/>
      <c r="CW13" s="43"/>
      <c r="CX13" s="43"/>
      <c r="CY13" s="43"/>
      <c r="CZ13" s="43"/>
      <c r="DA13" s="43"/>
      <c r="DB13" s="43"/>
      <c r="DC13" s="43"/>
      <c r="DD13" s="43"/>
      <c r="DE13" s="43"/>
      <c r="DF13" s="43"/>
      <c r="DG13" s="43"/>
      <c r="DH13" s="43"/>
      <c r="DI13" s="43"/>
      <c r="DJ13" s="43"/>
      <c r="DK13" s="43"/>
      <c r="DL13" s="43"/>
      <c r="DM13" s="43"/>
      <c r="DN13" s="43"/>
      <c r="DO13" s="43"/>
      <c r="DP13" s="43"/>
      <c r="DQ13" s="43"/>
      <c r="DR13" s="43"/>
      <c r="DS13" s="43"/>
      <c r="DT13" s="43"/>
      <c r="DU13" s="43"/>
      <c r="DV13" s="43"/>
      <c r="DW13" s="43"/>
      <c r="DX13" s="43"/>
      <c r="DY13" s="43"/>
      <c r="DZ13" s="43"/>
      <c r="EA13" s="43"/>
      <c r="EB13" s="43"/>
      <c r="EC13" s="43"/>
      <c r="ED13" s="43"/>
      <c r="EE13" s="43"/>
      <c r="EF13" s="43"/>
      <c r="EG13" s="43"/>
      <c r="EH13" s="43"/>
      <c r="EI13" s="43"/>
      <c r="EJ13" s="43"/>
      <c r="EK13" s="43"/>
      <c r="EL13" s="43"/>
      <c r="EM13" s="43"/>
      <c r="EN13" s="43"/>
      <c r="EO13" s="43"/>
      <c r="EP13" s="43"/>
      <c r="EQ13" s="43"/>
      <c r="ER13" s="43"/>
    </row>
    <row r="14" spans="1:148" outlineLevel="1" x14ac:dyDescent="0.3">
      <c r="A14" s="160" t="s">
        <v>99</v>
      </c>
      <c r="B14" s="160"/>
      <c r="C14" s="87"/>
      <c r="D14" s="161"/>
      <c r="E14" s="161"/>
      <c r="F14" s="162">
        <v>0.1</v>
      </c>
      <c r="G14" s="163">
        <f t="shared" ref="G14:G23" si="0">IF(ISBLANK(A14),"",NETWORKDAYS(D14,E14)*F14)</f>
        <v>0</v>
      </c>
      <c r="H14" s="164">
        <f t="shared" ref="H14:H23" si="1">IF(ISBLANK(A14),"",G14*$B$9)</f>
        <v>0</v>
      </c>
      <c r="I14" s="176">
        <f>IF(ISBLANK(A14),"",VLOOKUP(A14,gsrates!$A$3:$AK$38,VLOOKUP($B$5,gsrates!$A$41:$C$58,2,FALSE),FALSE))</f>
        <v>330</v>
      </c>
      <c r="J14" s="80">
        <f t="shared" ref="J14:J23" si="2">IF(ISBLANK(A14),"",H14*I14)</f>
        <v>0</v>
      </c>
      <c r="K14" s="207">
        <f>IF(ISBLANK(A14),"",VLOOKUP(A14,gsrates!$A$3:$AK$38,VLOOKUP($B$5,gsrates!$A$41:$C$58,3,FALSE),FALSE))</f>
        <v>162</v>
      </c>
      <c r="L14" s="207">
        <f t="shared" ref="L14:L23" si="3">IF(ISBLANK(A14),"",K14*G14*8)</f>
        <v>0</v>
      </c>
      <c r="M14" s="80">
        <f t="shared" ref="M14:M23" si="4">IF(ISBLANK(A14),"",J14-L14)</f>
        <v>0</v>
      </c>
      <c r="N14" s="177">
        <v>0</v>
      </c>
      <c r="O14" s="207">
        <f t="shared" ref="O14:O23" si="5">IF(ISBLANK(A14),"",G14*N14*$B$9)</f>
        <v>0</v>
      </c>
      <c r="P14" s="80">
        <f t="shared" ref="P14:P23" si="6">IF(ISBLANK(A14),"",O14-L14)</f>
        <v>0</v>
      </c>
      <c r="Q14" s="155" t="e">
        <f t="shared" ref="Q14:Q23" si="7">IF(ISBLANK(A14),"",P14/O14)</f>
        <v>#DIV/0!</v>
      </c>
      <c r="R14" s="166" t="e">
        <f t="shared" ref="R14:R23" si="8">IF(ISBLANK(A14),"",1-O14/J14)</f>
        <v>#DIV/0!</v>
      </c>
      <c r="S14" s="373">
        <f>IF(ISBLANK(A14),"",VLOOKUP(A14,gsrates!$A$3:$AL$38,38,FALSE))</f>
        <v>0</v>
      </c>
      <c r="T14" s="41"/>
      <c r="U14" s="388">
        <f>IF(S14=1,H14,0)</f>
        <v>0</v>
      </c>
      <c r="Y14" s="41" t="s">
        <v>162</v>
      </c>
    </row>
    <row r="15" spans="1:148" outlineLevel="1" x14ac:dyDescent="0.3">
      <c r="A15" s="160"/>
      <c r="B15" s="160"/>
      <c r="C15" s="87"/>
      <c r="D15" s="161"/>
      <c r="E15" s="161"/>
      <c r="F15" s="162"/>
      <c r="G15" s="163" t="str">
        <f t="shared" si="0"/>
        <v/>
      </c>
      <c r="H15" s="164" t="str">
        <f t="shared" si="1"/>
        <v/>
      </c>
      <c r="I15" s="176" t="str">
        <f>IF(ISBLANK(A15),"",VLOOKUP(A15,gsrates!$A$3:$AK$38,VLOOKUP($B$5,gsrates!$A$41:$C$58,2,FALSE),FALSE))</f>
        <v/>
      </c>
      <c r="J15" s="80" t="str">
        <f t="shared" si="2"/>
        <v/>
      </c>
      <c r="K15" s="207" t="str">
        <f>IF(ISBLANK(A15),"",VLOOKUP(A15,gsrates!$A$3:$AK$38,VLOOKUP($B$5,gsrates!$A$41:$C$58,3,FALSE),FALSE))</f>
        <v/>
      </c>
      <c r="L15" s="207" t="str">
        <f t="shared" si="3"/>
        <v/>
      </c>
      <c r="M15" s="80" t="str">
        <f t="shared" si="4"/>
        <v/>
      </c>
      <c r="N15" s="177">
        <v>0</v>
      </c>
      <c r="O15" s="207" t="str">
        <f t="shared" si="5"/>
        <v/>
      </c>
      <c r="P15" s="80" t="str">
        <f t="shared" si="6"/>
        <v/>
      </c>
      <c r="Q15" s="155" t="str">
        <f t="shared" si="7"/>
        <v/>
      </c>
      <c r="R15" s="166" t="str">
        <f t="shared" si="8"/>
        <v/>
      </c>
      <c r="S15" s="373" t="str">
        <f>IF(ISBLANK(A15),"",VLOOKUP(A15,gsrates!$A$3:$AL$38,38,FALSE))</f>
        <v/>
      </c>
      <c r="T15" s="41"/>
      <c r="U15" s="388">
        <f t="shared" ref="U15:U23" si="9">IF(S15=1,H15,0)</f>
        <v>0</v>
      </c>
    </row>
    <row r="16" spans="1:148" outlineLevel="1" x14ac:dyDescent="0.3">
      <c r="A16" s="160"/>
      <c r="B16" s="160"/>
      <c r="C16" s="87"/>
      <c r="D16" s="161"/>
      <c r="E16" s="161"/>
      <c r="F16" s="162"/>
      <c r="G16" s="163" t="str">
        <f t="shared" si="0"/>
        <v/>
      </c>
      <c r="H16" s="164" t="str">
        <f t="shared" si="1"/>
        <v/>
      </c>
      <c r="I16" s="176" t="str">
        <f>IF(ISBLANK(A16),"",VLOOKUP(A16,gsrates!$A$3:$AK$38,VLOOKUP($B$5,gsrates!$A$41:$C$58,2,FALSE),FALSE))</f>
        <v/>
      </c>
      <c r="J16" s="80" t="str">
        <f t="shared" si="2"/>
        <v/>
      </c>
      <c r="K16" s="207" t="str">
        <f>IF(ISBLANK(A16),"",VLOOKUP(A16,gsrates!$A$3:$AK$38,VLOOKUP($B$5,gsrates!$A$41:$C$58,3,FALSE),FALSE))</f>
        <v/>
      </c>
      <c r="L16" s="207" t="str">
        <f t="shared" si="3"/>
        <v/>
      </c>
      <c r="M16" s="80" t="str">
        <f t="shared" si="4"/>
        <v/>
      </c>
      <c r="N16" s="177">
        <v>0</v>
      </c>
      <c r="O16" s="207" t="str">
        <f t="shared" si="5"/>
        <v/>
      </c>
      <c r="P16" s="80" t="str">
        <f t="shared" si="6"/>
        <v/>
      </c>
      <c r="Q16" s="155" t="str">
        <f t="shared" si="7"/>
        <v/>
      </c>
      <c r="R16" s="166" t="str">
        <f t="shared" si="8"/>
        <v/>
      </c>
      <c r="S16" s="373" t="str">
        <f>IF(ISBLANK(A16),"",VLOOKUP(A16,gsrates!$A$3:$AL$38,38,FALSE))</f>
        <v/>
      </c>
      <c r="T16" s="41"/>
      <c r="U16" s="388">
        <f t="shared" si="9"/>
        <v>0</v>
      </c>
    </row>
    <row r="17" spans="1:148" outlineLevel="1" x14ac:dyDescent="0.3">
      <c r="A17" s="160"/>
      <c r="B17" s="160"/>
      <c r="C17" s="87"/>
      <c r="D17" s="161"/>
      <c r="E17" s="161"/>
      <c r="F17" s="162"/>
      <c r="G17" s="163" t="str">
        <f t="shared" si="0"/>
        <v/>
      </c>
      <c r="H17" s="164" t="str">
        <f t="shared" si="1"/>
        <v/>
      </c>
      <c r="I17" s="176" t="str">
        <f>IF(ISBLANK(A17),"",VLOOKUP(A17,gsrates!$A$3:$AK$38,VLOOKUP($B$5,gsrates!$A$41:$C$58,2,FALSE),FALSE))</f>
        <v/>
      </c>
      <c r="J17" s="80" t="str">
        <f t="shared" si="2"/>
        <v/>
      </c>
      <c r="K17" s="207" t="str">
        <f>IF(ISBLANK(A17),"",VLOOKUP(A17,gsrates!$A$3:$AK$38,VLOOKUP($B$5,gsrates!$A$41:$C$58,3,FALSE),FALSE))</f>
        <v/>
      </c>
      <c r="L17" s="207" t="str">
        <f t="shared" si="3"/>
        <v/>
      </c>
      <c r="M17" s="80" t="str">
        <f t="shared" si="4"/>
        <v/>
      </c>
      <c r="N17" s="177">
        <v>0</v>
      </c>
      <c r="O17" s="207" t="str">
        <f t="shared" si="5"/>
        <v/>
      </c>
      <c r="P17" s="80" t="str">
        <f t="shared" si="6"/>
        <v/>
      </c>
      <c r="Q17" s="155" t="str">
        <f t="shared" si="7"/>
        <v/>
      </c>
      <c r="R17" s="166" t="str">
        <f t="shared" si="8"/>
        <v/>
      </c>
      <c r="S17" s="373" t="str">
        <f>IF(ISBLANK(A17),"",VLOOKUP(A17,gsrates!$A$3:$AL$38,38,FALSE))</f>
        <v/>
      </c>
      <c r="T17" s="41"/>
      <c r="U17" s="388">
        <f t="shared" si="9"/>
        <v>0</v>
      </c>
    </row>
    <row r="18" spans="1:148" outlineLevel="1" x14ac:dyDescent="0.3">
      <c r="A18" s="160"/>
      <c r="B18" s="160"/>
      <c r="C18" s="87"/>
      <c r="D18" s="161"/>
      <c r="E18" s="161"/>
      <c r="F18" s="162"/>
      <c r="G18" s="163" t="str">
        <f t="shared" si="0"/>
        <v/>
      </c>
      <c r="H18" s="164" t="str">
        <f t="shared" si="1"/>
        <v/>
      </c>
      <c r="I18" s="176" t="str">
        <f>IF(ISBLANK(A18),"",VLOOKUP(A18,gsrates!$A$3:$AK$38,VLOOKUP($B$5,gsrates!$A$41:$C$58,2,FALSE),FALSE))</f>
        <v/>
      </c>
      <c r="J18" s="80" t="str">
        <f t="shared" si="2"/>
        <v/>
      </c>
      <c r="K18" s="207" t="str">
        <f>IF(ISBLANK(A18),"",VLOOKUP(A18,gsrates!$A$3:$AK$38,VLOOKUP($B$5,gsrates!$A$41:$C$58,3,FALSE),FALSE))</f>
        <v/>
      </c>
      <c r="L18" s="207" t="str">
        <f t="shared" si="3"/>
        <v/>
      </c>
      <c r="M18" s="80" t="str">
        <f t="shared" si="4"/>
        <v/>
      </c>
      <c r="N18" s="177">
        <v>0</v>
      </c>
      <c r="O18" s="207" t="str">
        <f t="shared" si="5"/>
        <v/>
      </c>
      <c r="P18" s="80" t="str">
        <f t="shared" si="6"/>
        <v/>
      </c>
      <c r="Q18" s="155" t="str">
        <f t="shared" si="7"/>
        <v/>
      </c>
      <c r="R18" s="166" t="str">
        <f t="shared" si="8"/>
        <v/>
      </c>
      <c r="S18" s="373" t="str">
        <f>IF(ISBLANK(A18),"",VLOOKUP(A18,gsrates!$A$3:$AL$38,38,FALSE))</f>
        <v/>
      </c>
      <c r="T18" s="41"/>
      <c r="U18" s="388">
        <f t="shared" si="9"/>
        <v>0</v>
      </c>
    </row>
    <row r="19" spans="1:148" outlineLevel="1" x14ac:dyDescent="0.3">
      <c r="A19" s="160"/>
      <c r="B19" s="160"/>
      <c r="C19" s="87"/>
      <c r="D19" s="161"/>
      <c r="E19" s="161"/>
      <c r="F19" s="162"/>
      <c r="G19" s="163" t="str">
        <f t="shared" si="0"/>
        <v/>
      </c>
      <c r="H19" s="164" t="str">
        <f t="shared" si="1"/>
        <v/>
      </c>
      <c r="I19" s="176" t="str">
        <f>IF(ISBLANK(A19),"",VLOOKUP(A19,gsrates!$A$3:$AK$38,VLOOKUP($B$5,gsrates!$A$41:$C$58,2,FALSE),FALSE))</f>
        <v/>
      </c>
      <c r="J19" s="80" t="str">
        <f t="shared" si="2"/>
        <v/>
      </c>
      <c r="K19" s="207" t="str">
        <f>IF(ISBLANK(A19),"",VLOOKUP(A19,gsrates!$A$3:$AK$38,VLOOKUP($B$5,gsrates!$A$41:$C$58,3,FALSE),FALSE))</f>
        <v/>
      </c>
      <c r="L19" s="207" t="str">
        <f t="shared" si="3"/>
        <v/>
      </c>
      <c r="M19" s="80" t="str">
        <f t="shared" si="4"/>
        <v/>
      </c>
      <c r="N19" s="177">
        <v>0</v>
      </c>
      <c r="O19" s="207" t="str">
        <f t="shared" si="5"/>
        <v/>
      </c>
      <c r="P19" s="80" t="str">
        <f t="shared" si="6"/>
        <v/>
      </c>
      <c r="Q19" s="155" t="str">
        <f t="shared" si="7"/>
        <v/>
      </c>
      <c r="R19" s="166" t="str">
        <f t="shared" si="8"/>
        <v/>
      </c>
      <c r="S19" s="373" t="str">
        <f>IF(ISBLANK(A19),"",VLOOKUP(A19,gsrates!$A$3:$AL$38,38,FALSE))</f>
        <v/>
      </c>
      <c r="T19" s="41"/>
      <c r="U19" s="388">
        <f t="shared" si="9"/>
        <v>0</v>
      </c>
    </row>
    <row r="20" spans="1:148" outlineLevel="1" x14ac:dyDescent="0.3">
      <c r="A20" s="160"/>
      <c r="B20" s="160"/>
      <c r="C20" s="87"/>
      <c r="D20" s="161"/>
      <c r="E20" s="161"/>
      <c r="F20" s="162"/>
      <c r="G20" s="163" t="str">
        <f t="shared" si="0"/>
        <v/>
      </c>
      <c r="H20" s="164" t="str">
        <f t="shared" si="1"/>
        <v/>
      </c>
      <c r="I20" s="176" t="str">
        <f>IF(ISBLANK(A20),"",VLOOKUP(A20,gsrates!$A$3:$AK$38,VLOOKUP($B$5,gsrates!$A$41:$C$58,2,FALSE),FALSE))</f>
        <v/>
      </c>
      <c r="J20" s="80" t="str">
        <f t="shared" si="2"/>
        <v/>
      </c>
      <c r="K20" s="207" t="str">
        <f>IF(ISBLANK(A20),"",VLOOKUP(A20,gsrates!$A$3:$AK$38,VLOOKUP($B$5,gsrates!$A$41:$C$58,3,FALSE),FALSE))</f>
        <v/>
      </c>
      <c r="L20" s="207" t="str">
        <f t="shared" si="3"/>
        <v/>
      </c>
      <c r="M20" s="80" t="str">
        <f t="shared" si="4"/>
        <v/>
      </c>
      <c r="N20" s="177">
        <v>0</v>
      </c>
      <c r="O20" s="207" t="str">
        <f t="shared" si="5"/>
        <v/>
      </c>
      <c r="P20" s="80" t="str">
        <f t="shared" si="6"/>
        <v/>
      </c>
      <c r="Q20" s="155" t="str">
        <f t="shared" si="7"/>
        <v/>
      </c>
      <c r="R20" s="166" t="str">
        <f t="shared" si="8"/>
        <v/>
      </c>
      <c r="S20" s="373" t="str">
        <f>IF(ISBLANK(A20),"",VLOOKUP(A20,gsrates!$A$3:$AL$38,38,FALSE))</f>
        <v/>
      </c>
      <c r="T20" s="41"/>
      <c r="U20" s="388">
        <f t="shared" si="9"/>
        <v>0</v>
      </c>
    </row>
    <row r="21" spans="1:148" outlineLevel="1" x14ac:dyDescent="0.3">
      <c r="A21" s="160"/>
      <c r="B21" s="160"/>
      <c r="C21" s="87"/>
      <c r="D21" s="161"/>
      <c r="E21" s="161"/>
      <c r="F21" s="162"/>
      <c r="G21" s="163" t="str">
        <f t="shared" si="0"/>
        <v/>
      </c>
      <c r="H21" s="164" t="str">
        <f t="shared" si="1"/>
        <v/>
      </c>
      <c r="I21" s="176" t="str">
        <f>IF(ISBLANK(A21),"",VLOOKUP(A21,gsrates!$A$3:$AK$38,VLOOKUP($B$5,gsrates!$A$41:$C$58,2,FALSE),FALSE))</f>
        <v/>
      </c>
      <c r="J21" s="80" t="str">
        <f t="shared" si="2"/>
        <v/>
      </c>
      <c r="K21" s="207" t="str">
        <f>IF(ISBLANK(A21),"",VLOOKUP(A21,gsrates!$A$3:$AK$38,VLOOKUP($B$5,gsrates!$A$41:$C$58,3,FALSE),FALSE))</f>
        <v/>
      </c>
      <c r="L21" s="207" t="str">
        <f t="shared" si="3"/>
        <v/>
      </c>
      <c r="M21" s="80" t="str">
        <f t="shared" si="4"/>
        <v/>
      </c>
      <c r="N21" s="177">
        <v>0</v>
      </c>
      <c r="O21" s="207" t="str">
        <f t="shared" si="5"/>
        <v/>
      </c>
      <c r="P21" s="80" t="str">
        <f t="shared" si="6"/>
        <v/>
      </c>
      <c r="Q21" s="155" t="str">
        <f t="shared" si="7"/>
        <v/>
      </c>
      <c r="R21" s="166" t="str">
        <f t="shared" si="8"/>
        <v/>
      </c>
      <c r="S21" s="373" t="str">
        <f>IF(ISBLANK(A21),"",VLOOKUP(A21,gsrates!$A$3:$AL$38,38,FALSE))</f>
        <v/>
      </c>
      <c r="T21" s="41"/>
      <c r="U21" s="388">
        <f t="shared" si="9"/>
        <v>0</v>
      </c>
    </row>
    <row r="22" spans="1:148" outlineLevel="1" x14ac:dyDescent="0.3">
      <c r="A22" s="160"/>
      <c r="B22" s="160"/>
      <c r="C22" s="87"/>
      <c r="D22" s="161"/>
      <c r="E22" s="161"/>
      <c r="F22" s="162"/>
      <c r="G22" s="163" t="str">
        <f t="shared" si="0"/>
        <v/>
      </c>
      <c r="H22" s="164" t="str">
        <f t="shared" si="1"/>
        <v/>
      </c>
      <c r="I22" s="176" t="str">
        <f>IF(ISBLANK(A22),"",VLOOKUP(A22,gsrates!$A$3:$AK$38,VLOOKUP($B$5,gsrates!$A$41:$C$58,2,FALSE),FALSE))</f>
        <v/>
      </c>
      <c r="J22" s="80" t="str">
        <f t="shared" si="2"/>
        <v/>
      </c>
      <c r="K22" s="207" t="str">
        <f>IF(ISBLANK(A22),"",VLOOKUP(A22,gsrates!$A$3:$AK$38,VLOOKUP($B$5,gsrates!$A$41:$C$58,3,FALSE),FALSE))</f>
        <v/>
      </c>
      <c r="L22" s="207" t="str">
        <f t="shared" si="3"/>
        <v/>
      </c>
      <c r="M22" s="80" t="str">
        <f t="shared" si="4"/>
        <v/>
      </c>
      <c r="N22" s="177">
        <v>0</v>
      </c>
      <c r="O22" s="207" t="str">
        <f t="shared" si="5"/>
        <v/>
      </c>
      <c r="P22" s="80" t="str">
        <f t="shared" si="6"/>
        <v/>
      </c>
      <c r="Q22" s="155" t="str">
        <f t="shared" si="7"/>
        <v/>
      </c>
      <c r="R22" s="166" t="str">
        <f t="shared" si="8"/>
        <v/>
      </c>
      <c r="S22" s="373" t="str">
        <f>IF(ISBLANK(A22),"",VLOOKUP(A22,gsrates!$A$3:$AL$38,38,FALSE))</f>
        <v/>
      </c>
      <c r="T22" s="41"/>
      <c r="U22" s="388">
        <f t="shared" si="9"/>
        <v>0</v>
      </c>
    </row>
    <row r="23" spans="1:148" s="11" customFormat="1" ht="14.4" outlineLevel="1" thickBot="1" x14ac:dyDescent="0.35">
      <c r="A23" s="167"/>
      <c r="B23" s="167"/>
      <c r="C23" s="167"/>
      <c r="D23" s="168"/>
      <c r="E23" s="168"/>
      <c r="F23" s="169"/>
      <c r="G23" s="170" t="str">
        <f t="shared" si="0"/>
        <v/>
      </c>
      <c r="H23" s="171" t="str">
        <f t="shared" si="1"/>
        <v/>
      </c>
      <c r="I23" s="178" t="str">
        <f>IF(ISBLANK(A23),"",VLOOKUP(A23,gsrates!$A$3:$AK$38,VLOOKUP($B$5,gsrates!$A$41:$C$58,2,FALSE),FALSE))</f>
        <v/>
      </c>
      <c r="J23" s="82" t="str">
        <f t="shared" si="2"/>
        <v/>
      </c>
      <c r="K23" s="208" t="str">
        <f>IF(ISBLANK(A23),"",VLOOKUP(A23,gsrates!$A$3:$AK$38,VLOOKUP($B$5,gsrates!$A$41:$C$58,3,FALSE),FALSE))</f>
        <v/>
      </c>
      <c r="L23" s="208" t="str">
        <f t="shared" si="3"/>
        <v/>
      </c>
      <c r="M23" s="82" t="str">
        <f t="shared" si="4"/>
        <v/>
      </c>
      <c r="N23" s="175">
        <v>0</v>
      </c>
      <c r="O23" s="208" t="str">
        <f t="shared" si="5"/>
        <v/>
      </c>
      <c r="P23" s="82" t="str">
        <f t="shared" si="6"/>
        <v/>
      </c>
      <c r="Q23" s="158" t="str">
        <f t="shared" si="7"/>
        <v/>
      </c>
      <c r="R23" s="173" t="str">
        <f t="shared" si="8"/>
        <v/>
      </c>
      <c r="S23" s="373" t="str">
        <f>IF(ISBLANK(A23),"",VLOOKUP(A23,gsrates!$A$3:$AL$38,38,FALSE))</f>
        <v/>
      </c>
      <c r="T23" s="174"/>
      <c r="U23" s="388">
        <f t="shared" si="9"/>
        <v>0</v>
      </c>
      <c r="V23" s="41"/>
      <c r="W23" s="41"/>
      <c r="X23" s="41"/>
      <c r="Y23" s="41"/>
      <c r="Z23" s="41"/>
      <c r="AA23" s="41"/>
      <c r="AB23" s="41"/>
      <c r="AC23" s="41"/>
      <c r="AD23" s="41"/>
      <c r="AE23" s="41"/>
      <c r="AF23" s="41"/>
      <c r="AG23" s="41"/>
      <c r="AH23" s="41"/>
      <c r="AI23" s="41"/>
      <c r="AJ23" s="41"/>
      <c r="AK23" s="41"/>
      <c r="AL23" s="41"/>
      <c r="AM23" s="41"/>
      <c r="AN23" s="41"/>
      <c r="AO23" s="41"/>
      <c r="AP23" s="41"/>
      <c r="AQ23" s="41"/>
      <c r="AR23" s="41"/>
      <c r="AS23" s="41"/>
      <c r="AT23" s="41"/>
      <c r="AU23" s="41"/>
      <c r="AV23" s="41"/>
      <c r="AW23" s="41"/>
      <c r="AX23" s="41"/>
      <c r="AY23" s="41"/>
      <c r="AZ23" s="41"/>
      <c r="BA23" s="41"/>
      <c r="BB23" s="41"/>
      <c r="BC23" s="41"/>
      <c r="BD23" s="41"/>
      <c r="BE23" s="41"/>
      <c r="BF23" s="41"/>
      <c r="BG23" s="41"/>
      <c r="BH23" s="41"/>
      <c r="BI23" s="41"/>
      <c r="BJ23" s="41"/>
      <c r="BK23" s="41"/>
      <c r="BL23" s="41"/>
      <c r="BM23" s="41"/>
      <c r="BN23" s="41"/>
      <c r="BO23" s="41"/>
      <c r="BP23" s="41"/>
      <c r="BQ23" s="41"/>
      <c r="BR23" s="41"/>
      <c r="BS23" s="41"/>
      <c r="BT23" s="41"/>
      <c r="BU23" s="41"/>
      <c r="BV23" s="41"/>
      <c r="BW23" s="41"/>
      <c r="BX23" s="41"/>
      <c r="BY23" s="41"/>
      <c r="BZ23" s="41"/>
      <c r="CA23" s="41"/>
      <c r="CB23" s="41"/>
      <c r="CC23" s="41"/>
      <c r="CD23" s="41"/>
      <c r="CE23" s="41"/>
      <c r="CF23" s="41"/>
      <c r="CG23" s="41"/>
      <c r="CH23" s="41"/>
      <c r="CI23" s="41"/>
      <c r="CJ23" s="41"/>
      <c r="CK23" s="41"/>
      <c r="CL23" s="41"/>
      <c r="CM23" s="41"/>
      <c r="CN23" s="41"/>
      <c r="CO23" s="41"/>
      <c r="CP23" s="41"/>
      <c r="CQ23" s="41"/>
      <c r="CR23" s="41"/>
      <c r="CS23" s="41"/>
      <c r="CT23" s="41"/>
      <c r="CU23" s="41"/>
      <c r="CV23" s="41"/>
      <c r="CW23" s="41"/>
      <c r="CX23" s="41"/>
      <c r="CY23" s="41"/>
      <c r="CZ23" s="41"/>
      <c r="DA23" s="41"/>
      <c r="DB23" s="41"/>
      <c r="DC23" s="41"/>
      <c r="DD23" s="41"/>
      <c r="DE23" s="41"/>
      <c r="DF23" s="41"/>
      <c r="DG23" s="41"/>
      <c r="DH23" s="41"/>
      <c r="DI23" s="41"/>
      <c r="DJ23" s="41"/>
      <c r="DK23" s="41"/>
      <c r="DL23" s="41"/>
      <c r="DM23" s="41"/>
      <c r="DN23" s="41"/>
      <c r="DO23" s="41"/>
      <c r="DP23" s="41"/>
      <c r="DQ23" s="41"/>
      <c r="DR23" s="41"/>
      <c r="DS23" s="41"/>
      <c r="DT23" s="41"/>
      <c r="DU23" s="41"/>
      <c r="DV23" s="41"/>
      <c r="DW23" s="41"/>
      <c r="DX23" s="41"/>
      <c r="DY23" s="41"/>
      <c r="DZ23" s="41"/>
      <c r="EA23" s="41"/>
      <c r="EB23" s="41"/>
      <c r="EC23" s="41"/>
      <c r="ED23" s="41"/>
      <c r="EE23" s="41"/>
      <c r="EF23" s="41"/>
      <c r="EG23" s="41"/>
      <c r="EH23" s="41"/>
      <c r="EI23" s="41"/>
      <c r="EJ23" s="41"/>
      <c r="EK23" s="41"/>
      <c r="EL23" s="41"/>
      <c r="EM23" s="41"/>
      <c r="EN23" s="41"/>
      <c r="EO23" s="41"/>
      <c r="EP23" s="41"/>
      <c r="EQ23" s="41"/>
      <c r="ER23" s="41"/>
    </row>
    <row r="24" spans="1:148" x14ac:dyDescent="0.3">
      <c r="A24" s="393" t="s">
        <v>11</v>
      </c>
      <c r="B24" s="393"/>
      <c r="C24" s="43"/>
      <c r="D24" s="7"/>
      <c r="E24" s="7"/>
      <c r="F24" s="8"/>
      <c r="G24" s="9">
        <f>SUM(G14:G23)</f>
        <v>0</v>
      </c>
      <c r="H24" s="9">
        <f>SUM(H14:H23)</f>
        <v>0</v>
      </c>
      <c r="I24" s="31"/>
      <c r="J24" s="36">
        <f>SUM(J14:J23)</f>
        <v>0</v>
      </c>
      <c r="K24" s="209"/>
      <c r="L24" s="209">
        <f>SUM(L14:L23)</f>
        <v>0</v>
      </c>
      <c r="M24" s="36">
        <f>SUM(M14:M23)</f>
        <v>0</v>
      </c>
      <c r="N24" s="33"/>
      <c r="O24" s="209">
        <f>SUM(O14:O23)</f>
        <v>0</v>
      </c>
      <c r="P24" s="36">
        <f>SUM(P14:P23)</f>
        <v>0</v>
      </c>
      <c r="Q24" s="15" t="str">
        <f>IF(G24=0,"",P24/O24)</f>
        <v/>
      </c>
      <c r="R24" s="8" t="str">
        <f>IF(G24=0,"",1-O24/J24)</f>
        <v/>
      </c>
      <c r="S24" s="374">
        <f>SUM(S14:S23)</f>
        <v>0</v>
      </c>
      <c r="U24" s="374">
        <f>SUM(U14:U23)</f>
        <v>0</v>
      </c>
    </row>
    <row r="25" spans="1:148" x14ac:dyDescent="0.3">
      <c r="D25" s="7"/>
      <c r="E25" s="7"/>
      <c r="F25" s="8"/>
      <c r="G25" s="9"/>
      <c r="H25" s="9"/>
      <c r="I25" s="31"/>
      <c r="J25" s="36"/>
      <c r="K25" s="209"/>
      <c r="L25" s="209"/>
      <c r="M25" s="36"/>
      <c r="N25" s="33"/>
      <c r="O25" s="209"/>
      <c r="P25" s="36"/>
      <c r="Q25" s="10"/>
      <c r="R25" s="8"/>
    </row>
    <row r="26" spans="1:148" outlineLevel="1" x14ac:dyDescent="0.3">
      <c r="B26" s="3"/>
      <c r="C26" s="3"/>
      <c r="D26" s="5"/>
      <c r="E26" s="5"/>
      <c r="F26" s="5"/>
      <c r="G26" s="6"/>
      <c r="H26" s="118"/>
      <c r="I26" s="34"/>
      <c r="J26" s="38"/>
      <c r="K26" s="210"/>
      <c r="L26" s="210"/>
      <c r="M26" s="38"/>
      <c r="N26" s="34"/>
      <c r="O26" s="210"/>
      <c r="P26" s="38"/>
      <c r="Q26" s="6"/>
      <c r="R26" s="6"/>
    </row>
    <row r="27" spans="1:148" outlineLevel="1" x14ac:dyDescent="0.3">
      <c r="A27" s="12" t="s">
        <v>12</v>
      </c>
      <c r="B27" s="12" t="s">
        <v>55</v>
      </c>
      <c r="C27" s="12"/>
      <c r="D27" s="13" t="s">
        <v>56</v>
      </c>
      <c r="E27" s="13" t="s">
        <v>57</v>
      </c>
      <c r="F27" s="13" t="s">
        <v>7</v>
      </c>
      <c r="G27" s="13" t="s">
        <v>20</v>
      </c>
      <c r="H27" s="119" t="s">
        <v>83</v>
      </c>
      <c r="I27" s="40" t="s">
        <v>10</v>
      </c>
      <c r="J27" s="13" t="s">
        <v>58</v>
      </c>
      <c r="K27" s="206" t="s">
        <v>59</v>
      </c>
      <c r="L27" s="218" t="s">
        <v>31</v>
      </c>
      <c r="M27" s="39" t="s">
        <v>21</v>
      </c>
      <c r="N27" s="35" t="s">
        <v>22</v>
      </c>
      <c r="O27" s="218" t="s">
        <v>60</v>
      </c>
      <c r="P27" s="13" t="s">
        <v>32</v>
      </c>
      <c r="Q27" s="13" t="s">
        <v>23</v>
      </c>
      <c r="R27" s="13" t="s">
        <v>24</v>
      </c>
      <c r="S27" s="385"/>
    </row>
    <row r="28" spans="1:148" outlineLevel="1" x14ac:dyDescent="0.3">
      <c r="A28" s="87"/>
      <c r="B28" s="87"/>
      <c r="C28" s="87"/>
      <c r="D28" s="88"/>
      <c r="E28" s="88"/>
      <c r="F28" s="162"/>
      <c r="G28" s="9" t="str">
        <f t="shared" ref="G28:G34" si="10">IF(ISBLANK(A28),"",NETWORKDAYS(D28,E28)*F28)</f>
        <v/>
      </c>
      <c r="H28" s="120" t="str">
        <f t="shared" ref="H28:H34" si="11">IF(ISBLANK(A28),"",G28*$B$9)</f>
        <v/>
      </c>
      <c r="I28" s="90"/>
      <c r="J28" s="36" t="str">
        <f t="shared" ref="J28:J34" si="12">IF(ISBLANK(A28),"",H28*I28)</f>
        <v/>
      </c>
      <c r="K28" s="211"/>
      <c r="L28" s="219" t="str">
        <f t="shared" ref="L28:L34" si="13">IF(ISBLANK(A28)," ",(K28*G28*$B$9))</f>
        <v xml:space="preserve"> </v>
      </c>
      <c r="M28" s="36" t="str">
        <f>IF(ISBLANK(A28),"",(I28*G28*8)-L28)</f>
        <v/>
      </c>
      <c r="N28" s="90"/>
      <c r="O28" s="209" t="str">
        <f t="shared" ref="O28:O34" si="14">IF(ISBLANK(A28),"",G28*N28*$B$9)</f>
        <v/>
      </c>
      <c r="P28" s="36" t="str">
        <f t="shared" ref="P28:P34" si="15">IF(ISBLANK(A28),"",O28-L28)</f>
        <v/>
      </c>
      <c r="Q28" s="15" t="str">
        <f t="shared" ref="Q28:Q34" si="16">IF(ISBLANK(A28),"",P28/O28)</f>
        <v/>
      </c>
      <c r="R28" s="8" t="str">
        <f t="shared" ref="R28:R34" si="17">IF(ISBLANK(A28),"",1-O28/J28)</f>
        <v/>
      </c>
      <c r="S28" s="372"/>
      <c r="U28" s="41" t="str">
        <f t="shared" ref="U28:U34" si="18">IF(ISBLANK(A28),"",CONCATENATE(C28,"-",$B$5))</f>
        <v/>
      </c>
      <c r="Y28" s="43"/>
    </row>
    <row r="29" spans="1:148" outlineLevel="1" x14ac:dyDescent="0.3">
      <c r="A29" s="87"/>
      <c r="B29" s="87"/>
      <c r="C29" s="87"/>
      <c r="D29" s="88"/>
      <c r="E29" s="88"/>
      <c r="F29" s="162"/>
      <c r="G29" s="9" t="str">
        <f t="shared" si="10"/>
        <v/>
      </c>
      <c r="H29" s="120" t="str">
        <f t="shared" si="11"/>
        <v/>
      </c>
      <c r="I29" s="90"/>
      <c r="J29" s="36" t="str">
        <f t="shared" si="12"/>
        <v/>
      </c>
      <c r="K29" s="211"/>
      <c r="L29" s="219" t="str">
        <f t="shared" si="13"/>
        <v xml:space="preserve"> </v>
      </c>
      <c r="M29" s="36" t="str">
        <f t="shared" ref="M29:M34" si="19">IF(ISBLANK(A29),"",J29-L29)</f>
        <v/>
      </c>
      <c r="N29" s="90"/>
      <c r="O29" s="209" t="str">
        <f t="shared" si="14"/>
        <v/>
      </c>
      <c r="P29" s="36" t="str">
        <f t="shared" si="15"/>
        <v/>
      </c>
      <c r="Q29" s="15" t="str">
        <f t="shared" si="16"/>
        <v/>
      </c>
      <c r="R29" s="8" t="str">
        <f t="shared" si="17"/>
        <v/>
      </c>
      <c r="S29" s="372"/>
      <c r="U29" s="41" t="str">
        <f t="shared" si="18"/>
        <v/>
      </c>
    </row>
    <row r="30" spans="1:148" outlineLevel="1" x14ac:dyDescent="0.3">
      <c r="A30" s="87"/>
      <c r="B30" s="87"/>
      <c r="C30" s="87"/>
      <c r="D30" s="88"/>
      <c r="E30" s="88"/>
      <c r="F30" s="162"/>
      <c r="G30" s="9" t="str">
        <f t="shared" si="10"/>
        <v/>
      </c>
      <c r="H30" s="120" t="str">
        <f t="shared" si="11"/>
        <v/>
      </c>
      <c r="I30" s="90"/>
      <c r="J30" s="36" t="str">
        <f t="shared" si="12"/>
        <v/>
      </c>
      <c r="K30" s="211"/>
      <c r="L30" s="219" t="str">
        <f t="shared" si="13"/>
        <v xml:space="preserve"> </v>
      </c>
      <c r="M30" s="36" t="str">
        <f t="shared" si="19"/>
        <v/>
      </c>
      <c r="N30" s="90"/>
      <c r="O30" s="209" t="str">
        <f t="shared" si="14"/>
        <v/>
      </c>
      <c r="P30" s="36" t="str">
        <f t="shared" si="15"/>
        <v/>
      </c>
      <c r="Q30" s="15" t="str">
        <f t="shared" si="16"/>
        <v/>
      </c>
      <c r="R30" s="8" t="str">
        <f t="shared" si="17"/>
        <v/>
      </c>
      <c r="S30" s="372"/>
      <c r="U30" s="41" t="str">
        <f t="shared" si="18"/>
        <v/>
      </c>
    </row>
    <row r="31" spans="1:148" outlineLevel="1" x14ac:dyDescent="0.3">
      <c r="A31" s="87"/>
      <c r="B31" s="87"/>
      <c r="C31" s="87"/>
      <c r="D31" s="88"/>
      <c r="E31" s="88"/>
      <c r="F31" s="162"/>
      <c r="G31" s="9" t="str">
        <f t="shared" si="10"/>
        <v/>
      </c>
      <c r="H31" s="120" t="str">
        <f t="shared" si="11"/>
        <v/>
      </c>
      <c r="I31" s="90"/>
      <c r="J31" s="36" t="str">
        <f t="shared" si="12"/>
        <v/>
      </c>
      <c r="K31" s="211"/>
      <c r="L31" s="219" t="str">
        <f t="shared" si="13"/>
        <v xml:space="preserve"> </v>
      </c>
      <c r="M31" s="36" t="str">
        <f t="shared" si="19"/>
        <v/>
      </c>
      <c r="N31" s="90"/>
      <c r="O31" s="209" t="str">
        <f t="shared" si="14"/>
        <v/>
      </c>
      <c r="P31" s="36" t="str">
        <f t="shared" si="15"/>
        <v/>
      </c>
      <c r="Q31" s="15" t="str">
        <f t="shared" si="16"/>
        <v/>
      </c>
      <c r="R31" s="8" t="str">
        <f t="shared" si="17"/>
        <v/>
      </c>
      <c r="S31" s="372"/>
      <c r="U31" s="41" t="str">
        <f t="shared" si="18"/>
        <v/>
      </c>
    </row>
    <row r="32" spans="1:148" outlineLevel="1" x14ac:dyDescent="0.3">
      <c r="A32" s="87"/>
      <c r="B32" s="87"/>
      <c r="C32" s="87"/>
      <c r="D32" s="88"/>
      <c r="E32" s="88"/>
      <c r="F32" s="162"/>
      <c r="G32" s="9" t="str">
        <f t="shared" si="10"/>
        <v/>
      </c>
      <c r="H32" s="120" t="str">
        <f t="shared" si="11"/>
        <v/>
      </c>
      <c r="I32" s="90"/>
      <c r="J32" s="36" t="str">
        <f t="shared" si="12"/>
        <v/>
      </c>
      <c r="K32" s="211"/>
      <c r="L32" s="219" t="str">
        <f t="shared" si="13"/>
        <v xml:space="preserve"> </v>
      </c>
      <c r="M32" s="36" t="str">
        <f t="shared" si="19"/>
        <v/>
      </c>
      <c r="N32" s="90"/>
      <c r="O32" s="209" t="str">
        <f t="shared" si="14"/>
        <v/>
      </c>
      <c r="P32" s="36" t="str">
        <f t="shared" si="15"/>
        <v/>
      </c>
      <c r="Q32" s="15" t="str">
        <f t="shared" si="16"/>
        <v/>
      </c>
      <c r="R32" s="8" t="str">
        <f t="shared" si="17"/>
        <v/>
      </c>
      <c r="S32" s="372"/>
      <c r="U32" s="41" t="str">
        <f t="shared" si="18"/>
        <v/>
      </c>
    </row>
    <row r="33" spans="1:148" outlineLevel="1" x14ac:dyDescent="0.3">
      <c r="A33" s="87"/>
      <c r="B33" s="87"/>
      <c r="C33" s="87"/>
      <c r="D33" s="88"/>
      <c r="E33" s="88"/>
      <c r="F33" s="162"/>
      <c r="G33" s="9" t="str">
        <f t="shared" si="10"/>
        <v/>
      </c>
      <c r="H33" s="120" t="str">
        <f t="shared" si="11"/>
        <v/>
      </c>
      <c r="I33" s="90"/>
      <c r="J33" s="36" t="str">
        <f t="shared" si="12"/>
        <v/>
      </c>
      <c r="K33" s="211"/>
      <c r="L33" s="219" t="str">
        <f t="shared" si="13"/>
        <v xml:space="preserve"> </v>
      </c>
      <c r="M33" s="36" t="str">
        <f t="shared" si="19"/>
        <v/>
      </c>
      <c r="N33" s="90"/>
      <c r="O33" s="209" t="str">
        <f t="shared" si="14"/>
        <v/>
      </c>
      <c r="P33" s="36" t="str">
        <f t="shared" si="15"/>
        <v/>
      </c>
      <c r="Q33" s="15" t="str">
        <f t="shared" si="16"/>
        <v/>
      </c>
      <c r="R33" s="8" t="str">
        <f t="shared" si="17"/>
        <v/>
      </c>
      <c r="S33" s="372"/>
      <c r="U33" s="41" t="str">
        <f t="shared" si="18"/>
        <v/>
      </c>
    </row>
    <row r="34" spans="1:148" s="11" customFormat="1" ht="14.4" outlineLevel="1" thickBot="1" x14ac:dyDescent="0.35">
      <c r="A34" s="167"/>
      <c r="B34" s="167"/>
      <c r="C34" s="167"/>
      <c r="D34" s="168"/>
      <c r="E34" s="168"/>
      <c r="F34" s="169"/>
      <c r="G34" s="170" t="str">
        <f t="shared" si="10"/>
        <v/>
      </c>
      <c r="H34" s="171" t="str">
        <f t="shared" si="11"/>
        <v/>
      </c>
      <c r="I34" s="175"/>
      <c r="J34" s="82" t="str">
        <f t="shared" si="12"/>
        <v/>
      </c>
      <c r="K34" s="212"/>
      <c r="L34" s="220" t="str">
        <f t="shared" si="13"/>
        <v xml:space="preserve"> </v>
      </c>
      <c r="M34" s="82" t="str">
        <f t="shared" si="19"/>
        <v/>
      </c>
      <c r="N34" s="175"/>
      <c r="O34" s="208" t="str">
        <f t="shared" si="14"/>
        <v/>
      </c>
      <c r="P34" s="82" t="str">
        <f t="shared" si="15"/>
        <v/>
      </c>
      <c r="Q34" s="158" t="str">
        <f t="shared" si="16"/>
        <v/>
      </c>
      <c r="R34" s="173" t="str">
        <f t="shared" si="17"/>
        <v/>
      </c>
      <c r="S34" s="386"/>
      <c r="T34" s="174"/>
      <c r="U34" s="41" t="str">
        <f t="shared" si="18"/>
        <v/>
      </c>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J34" s="41"/>
      <c r="BK34" s="41"/>
      <c r="BL34" s="41"/>
      <c r="BM34" s="41"/>
      <c r="BN34" s="41"/>
      <c r="BO34" s="41"/>
      <c r="BP34" s="41"/>
      <c r="BQ34" s="41"/>
      <c r="BR34" s="41"/>
      <c r="BS34" s="41"/>
      <c r="BT34" s="41"/>
      <c r="BU34" s="41"/>
      <c r="BV34" s="41"/>
      <c r="BW34" s="41"/>
      <c r="BX34" s="41"/>
      <c r="BY34" s="41"/>
      <c r="BZ34" s="41"/>
      <c r="CA34" s="41"/>
      <c r="CB34" s="41"/>
      <c r="CC34" s="41"/>
      <c r="CD34" s="41"/>
      <c r="CE34" s="41"/>
      <c r="CF34" s="41"/>
      <c r="CG34" s="41"/>
      <c r="CH34" s="41"/>
      <c r="CI34" s="41"/>
      <c r="CJ34" s="41"/>
      <c r="CK34" s="41"/>
      <c r="CL34" s="41"/>
      <c r="CM34" s="41"/>
      <c r="CN34" s="41"/>
      <c r="CO34" s="41"/>
      <c r="CP34" s="41"/>
      <c r="CQ34" s="41"/>
      <c r="CR34" s="41"/>
      <c r="CS34" s="41"/>
      <c r="CT34" s="41"/>
      <c r="CU34" s="41"/>
      <c r="CV34" s="41"/>
      <c r="CW34" s="41"/>
      <c r="CX34" s="41"/>
      <c r="CY34" s="41"/>
      <c r="CZ34" s="41"/>
      <c r="DA34" s="41"/>
      <c r="DB34" s="41"/>
      <c r="DC34" s="41"/>
      <c r="DD34" s="41"/>
      <c r="DE34" s="41"/>
      <c r="DF34" s="41"/>
      <c r="DG34" s="41"/>
      <c r="DH34" s="41"/>
      <c r="DI34" s="41"/>
      <c r="DJ34" s="41"/>
      <c r="DK34" s="41"/>
      <c r="DL34" s="41"/>
      <c r="DM34" s="41"/>
      <c r="DN34" s="41"/>
      <c r="DO34" s="41"/>
      <c r="DP34" s="41"/>
      <c r="DQ34" s="41"/>
      <c r="DR34" s="41"/>
      <c r="DS34" s="41"/>
      <c r="DT34" s="41"/>
      <c r="DU34" s="41"/>
      <c r="DV34" s="41"/>
      <c r="DW34" s="41"/>
      <c r="DX34" s="41"/>
      <c r="DY34" s="41"/>
      <c r="DZ34" s="41"/>
      <c r="EA34" s="41"/>
      <c r="EB34" s="41"/>
      <c r="EC34" s="41"/>
      <c r="ED34" s="41"/>
      <c r="EE34" s="41"/>
      <c r="EF34" s="41"/>
      <c r="EG34" s="41"/>
      <c r="EH34" s="41"/>
      <c r="EI34" s="41"/>
      <c r="EJ34" s="41"/>
      <c r="EK34" s="41"/>
      <c r="EL34" s="41"/>
      <c r="EM34" s="41"/>
      <c r="EN34" s="41"/>
      <c r="EO34" s="41"/>
      <c r="EP34" s="41"/>
      <c r="EQ34" s="41"/>
      <c r="ER34" s="41"/>
    </row>
    <row r="35" spans="1:148" x14ac:dyDescent="0.3">
      <c r="A35" s="3" t="s">
        <v>13</v>
      </c>
      <c r="G35" s="9">
        <f>SUM(G28:G34)</f>
        <v>0</v>
      </c>
      <c r="H35" s="9">
        <f>SUM(H28:H34)</f>
        <v>0</v>
      </c>
      <c r="I35" s="31"/>
      <c r="J35" s="36">
        <f>SUM(J28:J34)</f>
        <v>0</v>
      </c>
      <c r="K35" s="209"/>
      <c r="L35" s="209">
        <f>SUM(L28:L34)</f>
        <v>0</v>
      </c>
      <c r="M35" s="36">
        <f>SUM(M28:M34)</f>
        <v>0</v>
      </c>
      <c r="N35" s="33"/>
      <c r="O35" s="209">
        <f>SUM(O28:O34)</f>
        <v>0</v>
      </c>
      <c r="P35" s="36">
        <f>SUM(P28:P34)</f>
        <v>0</v>
      </c>
      <c r="Q35" s="15">
        <f>IF(ISBLANK(A35),"",IF(O35&gt;0,P35/O35,0))</f>
        <v>0</v>
      </c>
      <c r="R35" s="8">
        <f>IF(ISBLANK(A35),"",IF(J35&gt;0,1-O35/J35,1))</f>
        <v>1</v>
      </c>
      <c r="S35" s="372"/>
    </row>
    <row r="36" spans="1:148" x14ac:dyDescent="0.3">
      <c r="I36" s="31"/>
      <c r="J36" s="36"/>
      <c r="K36" s="209"/>
      <c r="L36" s="209"/>
      <c r="M36" s="36"/>
      <c r="O36" s="209"/>
      <c r="P36" s="36"/>
    </row>
    <row r="37" spans="1:148" x14ac:dyDescent="0.3">
      <c r="A37" s="3" t="s">
        <v>14</v>
      </c>
      <c r="G37" s="17">
        <f>IF($B$4="Fixed Price",RISK!$L$3*(G24+G35),RISK!$N$3*(G24+G35))</f>
        <v>0</v>
      </c>
      <c r="H37" s="120">
        <f>IF(ISBLANK(B6),0,G37*B9)</f>
        <v>0</v>
      </c>
      <c r="I37" s="33"/>
      <c r="J37" s="51">
        <f>IF($B$4="Fixed Price",RISK!$L$3*(J24+J35),RISK!$N$3*(J24+J35))</f>
        <v>0</v>
      </c>
      <c r="K37" s="209"/>
      <c r="L37" s="51">
        <f>IF($B$4="Fixed Price",RISK!$L$3*(L24+L35),RISK!$N$3*(L24+L35))</f>
        <v>0</v>
      </c>
      <c r="M37" s="51">
        <f>IF($B$4="Fixed Price",RISK!$L$3*(M24+M35),RISK!$N$3*(M24+M35))</f>
        <v>0</v>
      </c>
      <c r="O37" s="51">
        <f>IF($B$4="Fixed Price",RISK!$L$3*(O24+O35),RISK!$N$3*(O24+O35))</f>
        <v>0</v>
      </c>
      <c r="P37" s="51">
        <f>IF($B$4="Fixed Price",RISK!$L$3*(P24+P35),RISK!$N$3*(P24+P35))</f>
        <v>0</v>
      </c>
      <c r="Q37" s="15" t="str">
        <f>IF(G37=0,"",P37/O37)</f>
        <v/>
      </c>
      <c r="R37" s="8" t="str">
        <f>IF(G37=0,"",1-O37/J37)</f>
        <v/>
      </c>
    </row>
    <row r="38" spans="1:148" x14ac:dyDescent="0.3">
      <c r="A38" s="3" t="s">
        <v>173</v>
      </c>
      <c r="G38" s="17">
        <f>IF($B$4="Fixed Price",RISK!$M$3*(G24+G35)+RISK!$O$3*(G24+G35),0)</f>
        <v>0</v>
      </c>
      <c r="H38" s="120">
        <f>IF(ISBLANK(B6),0,G38*B9)</f>
        <v>0</v>
      </c>
      <c r="I38" s="33"/>
      <c r="J38" s="17">
        <f>IF($B$4="Fixed Price",RISK!$M$3*(J24+J35)+RISK!$O$3*(J24+J35),0)</f>
        <v>0</v>
      </c>
      <c r="K38" s="209"/>
      <c r="L38" s="17">
        <f>IF($B$4="Fixed Price",RISK!$M$3*(L24+L35)+RISK!$O$3*(L24+L35),0)</f>
        <v>0</v>
      </c>
      <c r="M38" s="17">
        <f>IF($B$4="Fixed Price",RISK!$M$3*(M24+M35)+RISK!$O$3*(M24+M35),0)</f>
        <v>0</v>
      </c>
      <c r="O38" s="17">
        <f>IF($B$4="Fixed Price",RISK!$M$3*(O24+O35)+RISK!$O$3*(O24+O35),0)</f>
        <v>0</v>
      </c>
      <c r="P38" s="17">
        <f>IF($B$4="Fixed Price",RISK!$M$3*(P24+P35)+RISK!$O$3*(P24+P35),0)</f>
        <v>0</v>
      </c>
      <c r="Q38" s="15" t="str">
        <f>IF(G38=0,"",P38/O38)</f>
        <v/>
      </c>
      <c r="R38" s="8" t="str">
        <f>IF(G38=0,"",1-O38/J38)</f>
        <v/>
      </c>
    </row>
    <row r="39" spans="1:148" x14ac:dyDescent="0.3">
      <c r="A39" s="3" t="s">
        <v>172</v>
      </c>
      <c r="G39" s="17">
        <f>IF($B$4="T&amp;M",RISK!$O$3*(G24+G35),0)</f>
        <v>0</v>
      </c>
      <c r="H39" s="120">
        <f>IF(ISBLANK(B6),0,G39*B9)</f>
        <v>0</v>
      </c>
      <c r="I39" s="33"/>
      <c r="J39" s="17">
        <f>IF($B$4="T&amp;M",RISK!$O$3*(J24+J35),0)</f>
        <v>0</v>
      </c>
      <c r="K39" s="209"/>
      <c r="L39" s="17">
        <f>IF($B$4="T&amp;M",RISK!$O$3*(L24+L35),0)</f>
        <v>0</v>
      </c>
      <c r="M39" s="17">
        <f>IF($B$4="T&amp;M",RISK!$O$3*(M24+M35),0)</f>
        <v>0</v>
      </c>
      <c r="O39" s="17">
        <f>IF($B$4="T&amp;M",RISK!$O$3*(O24+O35),0)</f>
        <v>0</v>
      </c>
      <c r="P39" s="17">
        <f>IF($B$4="T&amp;M",RISK!$O$3*(P24+P35),0)</f>
        <v>0</v>
      </c>
      <c r="Q39" s="15" t="str">
        <f>IF(G39=0,"",P39/O39)</f>
        <v/>
      </c>
      <c r="R39" s="8" t="str">
        <f>IF(G39=0,"",1-O39/J39)</f>
        <v/>
      </c>
    </row>
    <row r="40" spans="1:148" x14ac:dyDescent="0.3">
      <c r="A40" s="3" t="s">
        <v>147</v>
      </c>
      <c r="G40" s="17">
        <f>G24+G35+G37+G38+G39</f>
        <v>0</v>
      </c>
      <c r="H40" s="17">
        <f>H24+H35+H37+H38+H39</f>
        <v>0</v>
      </c>
      <c r="I40" s="33"/>
      <c r="J40" s="17">
        <f>J24+J35+J37+J38+J39</f>
        <v>0</v>
      </c>
      <c r="K40" s="209"/>
      <c r="L40" s="17">
        <f>L24+L35+L37+L38+L39</f>
        <v>0</v>
      </c>
      <c r="M40" s="17">
        <f>M24+M35+M37+M39+M50+M38</f>
        <v>0</v>
      </c>
      <c r="O40" s="17">
        <f>O24+O35+O37+O38+O39</f>
        <v>0</v>
      </c>
      <c r="P40" s="17">
        <f>P24+P35+P37+P39+P50+P38</f>
        <v>0</v>
      </c>
      <c r="Q40" s="15">
        <f>IF(ISBLANK(A40),"",IF(O40&gt;0,P40/O40,0))</f>
        <v>0</v>
      </c>
      <c r="R40" s="8"/>
      <c r="S40" s="372"/>
    </row>
    <row r="41" spans="1:148" x14ac:dyDescent="0.3">
      <c r="A41" s="3"/>
      <c r="G41" s="17"/>
      <c r="H41" s="120"/>
      <c r="I41" s="33"/>
      <c r="J41" s="51"/>
      <c r="K41" s="209"/>
      <c r="L41" s="51"/>
      <c r="M41" s="51"/>
      <c r="O41" s="51"/>
      <c r="P41" s="51"/>
      <c r="Q41" s="15"/>
      <c r="R41" s="8"/>
    </row>
    <row r="42" spans="1:148" hidden="1" outlineLevel="1" x14ac:dyDescent="0.3">
      <c r="A42" s="12" t="s">
        <v>145</v>
      </c>
      <c r="B42" s="12"/>
      <c r="C42" s="12"/>
      <c r="D42" s="13" t="s">
        <v>56</v>
      </c>
      <c r="E42" s="13" t="s">
        <v>57</v>
      </c>
      <c r="F42" s="13" t="s">
        <v>149</v>
      </c>
      <c r="G42" s="13" t="s">
        <v>20</v>
      </c>
      <c r="H42" s="119" t="s">
        <v>83</v>
      </c>
      <c r="I42" s="40" t="s">
        <v>10</v>
      </c>
      <c r="J42" s="13" t="s">
        <v>58</v>
      </c>
      <c r="K42" s="206"/>
      <c r="L42" s="218" t="s">
        <v>31</v>
      </c>
      <c r="M42" s="39" t="s">
        <v>21</v>
      </c>
      <c r="N42" s="35" t="s">
        <v>22</v>
      </c>
      <c r="O42" s="218" t="s">
        <v>60</v>
      </c>
      <c r="P42" s="13" t="s">
        <v>32</v>
      </c>
      <c r="Q42" s="13"/>
      <c r="R42" s="13"/>
      <c r="S42" s="385"/>
    </row>
    <row r="43" spans="1:148" hidden="1" outlineLevel="1" x14ac:dyDescent="0.3">
      <c r="A43" s="160"/>
      <c r="B43" s="160"/>
      <c r="C43" s="160"/>
      <c r="D43" s="161"/>
      <c r="E43" s="161"/>
      <c r="F43" s="162"/>
      <c r="G43" s="163" t="str">
        <f>IF(ISBLANK(A43),"",NETWORKDAYS(D43,E43)*F43)</f>
        <v/>
      </c>
      <c r="H43" s="164" t="str">
        <f>IF(ISBLANK(A43),"",G43*$B$9)</f>
        <v/>
      </c>
      <c r="I43" s="165">
        <v>0</v>
      </c>
      <c r="J43" s="80" t="str">
        <f>IF(ISBLANK(A43),"",H43*I43)</f>
        <v/>
      </c>
      <c r="K43" s="213">
        <v>0</v>
      </c>
      <c r="L43" s="221" t="str">
        <f>IF(ISBLANK(A43)," ",(K43*G43*$B$9))</f>
        <v xml:space="preserve"> </v>
      </c>
      <c r="M43" s="80" t="str">
        <f>IF(ISBLANK(A43),"",(I43*G43*8)-L43)</f>
        <v/>
      </c>
      <c r="N43" s="165">
        <v>0</v>
      </c>
      <c r="O43" s="207" t="str">
        <f>IF(ISBLANK(A43),"",G43*N43*$B$9)</f>
        <v/>
      </c>
      <c r="P43" s="80" t="str">
        <f>IF(ISBLANK(A43),"",O43-L43)</f>
        <v/>
      </c>
      <c r="Q43" s="155"/>
      <c r="R43" s="166"/>
      <c r="S43" s="387"/>
      <c r="T43" s="41"/>
      <c r="U43" s="41" t="str">
        <f>IF(ISBLANK(A43),"",CONCATENATE(C43,"-",$B$5))</f>
        <v/>
      </c>
      <c r="Y43" s="43"/>
    </row>
    <row r="44" spans="1:148" hidden="1" outlineLevel="1" x14ac:dyDescent="0.3">
      <c r="A44" s="160"/>
      <c r="B44" s="160"/>
      <c r="C44" s="160"/>
      <c r="D44" s="161"/>
      <c r="E44" s="161"/>
      <c r="F44" s="162"/>
      <c r="G44" s="163" t="str">
        <f>IF(ISBLANK(A44),"",NETWORKDAYS(D44,E44)*F44)</f>
        <v/>
      </c>
      <c r="H44" s="164" t="str">
        <f>IF(ISBLANK(A44),"",G44*$B$9)</f>
        <v/>
      </c>
      <c r="I44" s="165">
        <v>0</v>
      </c>
      <c r="J44" s="80" t="str">
        <f>IF(ISBLANK(A44),"",H44*I44)</f>
        <v/>
      </c>
      <c r="K44" s="213">
        <v>0</v>
      </c>
      <c r="L44" s="221" t="str">
        <f>IF(ISBLANK(A44)," ",(K44*G44*$B$9))</f>
        <v xml:space="preserve"> </v>
      </c>
      <c r="M44" s="80" t="str">
        <f>IF(ISBLANK(A44),"",J44-L44)</f>
        <v/>
      </c>
      <c r="N44" s="165">
        <v>0</v>
      </c>
      <c r="O44" s="207" t="str">
        <f>IF(ISBLANK(A44),"",G44*N44*$B$9)</f>
        <v/>
      </c>
      <c r="P44" s="80" t="str">
        <f>IF(ISBLANK(A44),"",O44-L44)</f>
        <v/>
      </c>
      <c r="Q44" s="155"/>
      <c r="R44" s="166"/>
      <c r="S44" s="387"/>
      <c r="T44" s="41"/>
      <c r="U44" s="41" t="str">
        <f>IF(ISBLANK(A44),"",CONCATENATE(C44,"-",$B$5))</f>
        <v/>
      </c>
    </row>
    <row r="45" spans="1:148" hidden="1" outlineLevel="1" x14ac:dyDescent="0.3">
      <c r="A45" s="160"/>
      <c r="B45" s="160"/>
      <c r="C45" s="160"/>
      <c r="D45" s="161"/>
      <c r="E45" s="161"/>
      <c r="F45" s="162"/>
      <c r="G45" s="163" t="str">
        <f>IF(ISBLANK(A45),"",NETWORKDAYS(D45,E45)*F45)</f>
        <v/>
      </c>
      <c r="H45" s="164" t="str">
        <f>IF(ISBLANK(A45),"",G45*$B$9)</f>
        <v/>
      </c>
      <c r="I45" s="165">
        <v>0</v>
      </c>
      <c r="J45" s="80" t="str">
        <f>IF(ISBLANK(A45),"",H45*I45)</f>
        <v/>
      </c>
      <c r="K45" s="213">
        <v>0</v>
      </c>
      <c r="L45" s="221" t="str">
        <f>IF(ISBLANK(A45)," ",(K45*G45*$B$9))</f>
        <v xml:space="preserve"> </v>
      </c>
      <c r="M45" s="80" t="str">
        <f>IF(ISBLANK(A45),"",J45-L45)</f>
        <v/>
      </c>
      <c r="N45" s="165">
        <v>0</v>
      </c>
      <c r="O45" s="207" t="str">
        <f>IF(ISBLANK(A45),"",G45*N45*$B$9)</f>
        <v/>
      </c>
      <c r="P45" s="80" t="str">
        <f>IF(ISBLANK(A45),"",O45-L45)</f>
        <v/>
      </c>
      <c r="Q45" s="155" t="str">
        <f>IF(ISBLANK(A45),"",P45/O45)</f>
        <v/>
      </c>
      <c r="R45" s="166" t="str">
        <f>IF(ISBLANK(A45),"",1-O45/J45)</f>
        <v/>
      </c>
      <c r="S45" s="387"/>
      <c r="T45" s="41"/>
      <c r="U45" s="41" t="str">
        <f>IF(ISBLANK(A45),"",CONCATENATE(C45,"-",$B$5))</f>
        <v/>
      </c>
    </row>
    <row r="46" spans="1:148" hidden="1" outlineLevel="1" x14ac:dyDescent="0.3">
      <c r="A46" s="160"/>
      <c r="B46" s="160"/>
      <c r="C46" s="160"/>
      <c r="D46" s="161"/>
      <c r="E46" s="161"/>
      <c r="F46" s="162"/>
      <c r="G46" s="163" t="str">
        <f>IF(ISBLANK(A46),"",NETWORKDAYS(D46,E46)*F46)</f>
        <v/>
      </c>
      <c r="H46" s="164" t="str">
        <f>IF(ISBLANK(A46),"",G46*$B$9)</f>
        <v/>
      </c>
      <c r="I46" s="165">
        <v>0</v>
      </c>
      <c r="J46" s="80" t="str">
        <f>IF(ISBLANK(A46),"",H46*I46)</f>
        <v/>
      </c>
      <c r="K46" s="213">
        <v>0</v>
      </c>
      <c r="L46" s="221" t="str">
        <f>IF(ISBLANK(A46)," ",(K46*G46*$B$9))</f>
        <v xml:space="preserve"> </v>
      </c>
      <c r="M46" s="80" t="str">
        <f>IF(ISBLANK(A46),"",J46-L46)</f>
        <v/>
      </c>
      <c r="N46" s="165">
        <v>0</v>
      </c>
      <c r="O46" s="207" t="str">
        <f>IF(ISBLANK(A46),"",G46*N46*$B$9)</f>
        <v/>
      </c>
      <c r="P46" s="80" t="str">
        <f>IF(ISBLANK(A46),"",O46-L46)</f>
        <v/>
      </c>
      <c r="Q46" s="155" t="str">
        <f>IF(ISBLANK(A46),"",P46/O46)</f>
        <v/>
      </c>
      <c r="R46" s="166" t="str">
        <f>IF(ISBLANK(A46),"",1-O46/J46)</f>
        <v/>
      </c>
      <c r="S46" s="387"/>
      <c r="T46" s="41"/>
      <c r="U46" s="41" t="str">
        <f>IF(ISBLANK(A46),"",CONCATENATE(C46,"-",$B$5))</f>
        <v/>
      </c>
    </row>
    <row r="47" spans="1:148" ht="14.4" hidden="1" outlineLevel="1" thickBot="1" x14ac:dyDescent="0.35">
      <c r="A47" s="167"/>
      <c r="B47" s="167"/>
      <c r="C47" s="167"/>
      <c r="D47" s="168"/>
      <c r="E47" s="168"/>
      <c r="F47" s="169"/>
      <c r="G47" s="170" t="str">
        <f>IF(ISBLANK(A47),"",NETWORKDAYS(D47,E47)*F47)</f>
        <v/>
      </c>
      <c r="H47" s="171" t="str">
        <f>IF(ISBLANK(A47),"",G47*$B$9)</f>
        <v/>
      </c>
      <c r="I47" s="172">
        <v>0</v>
      </c>
      <c r="J47" s="82" t="str">
        <f>IF(ISBLANK(A47),"",H47*I47)</f>
        <v/>
      </c>
      <c r="K47" s="214">
        <v>0</v>
      </c>
      <c r="L47" s="220" t="str">
        <f>IF(ISBLANK(A47)," ",(K47*G47*$B$9))</f>
        <v xml:space="preserve"> </v>
      </c>
      <c r="M47" s="82" t="str">
        <f>IF(ISBLANK(A47),"",J47-L47)</f>
        <v/>
      </c>
      <c r="N47" s="172">
        <v>0</v>
      </c>
      <c r="O47" s="208" t="str">
        <f>IF(ISBLANK(A47),"",G47*N47*$B$9)</f>
        <v/>
      </c>
      <c r="P47" s="82" t="str">
        <f>IF(ISBLANK(A47),"",O47-L47)</f>
        <v/>
      </c>
      <c r="Q47" s="158" t="str">
        <f>IF(ISBLANK(A47),"",P47/O47)</f>
        <v/>
      </c>
      <c r="R47" s="173" t="str">
        <f>IF(ISBLANK(A47),"",1-O47/J47)</f>
        <v/>
      </c>
      <c r="S47" s="386"/>
      <c r="T47" s="174"/>
      <c r="U47" s="41" t="str">
        <f>IF(ISBLANK(A47),"",CONCATENATE(C47,"-",$B$5))</f>
        <v/>
      </c>
    </row>
    <row r="48" spans="1:148" hidden="1" x14ac:dyDescent="0.3">
      <c r="A48" s="3" t="s">
        <v>146</v>
      </c>
      <c r="G48" s="17">
        <f>SUM(G43:G47)</f>
        <v>0</v>
      </c>
      <c r="H48" s="17">
        <f>SUM(H43:H47)</f>
        <v>0</v>
      </c>
      <c r="I48" s="33"/>
      <c r="J48" s="51"/>
      <c r="K48" s="209"/>
      <c r="L48" s="51"/>
      <c r="M48" s="51"/>
      <c r="O48" s="51"/>
      <c r="P48" s="51"/>
      <c r="Q48" s="15"/>
      <c r="R48" s="8"/>
    </row>
    <row r="49" spans="1:148" hidden="1" x14ac:dyDescent="0.3">
      <c r="A49" s="3"/>
      <c r="G49" s="17"/>
      <c r="H49" s="120"/>
      <c r="I49" s="33"/>
      <c r="J49" s="123"/>
      <c r="K49" s="209"/>
      <c r="L49" s="51"/>
      <c r="M49" s="51"/>
      <c r="O49" s="123"/>
      <c r="P49" s="51"/>
      <c r="Q49" s="15" t="str">
        <f>IF(G49=0,"",P49/O49)</f>
        <v/>
      </c>
      <c r="R49" s="8" t="str">
        <f>IF(G49=0,"",1-O49/J49)</f>
        <v/>
      </c>
    </row>
    <row r="50" spans="1:148" s="11" customFormat="1" x14ac:dyDescent="0.3">
      <c r="A50" s="12" t="s">
        <v>16</v>
      </c>
      <c r="H50" s="121"/>
      <c r="I50" s="32"/>
      <c r="J50" s="37"/>
      <c r="K50" s="215"/>
      <c r="L50" s="215">
        <f>'Non-Reimbursable Expenses'!B6</f>
        <v>0</v>
      </c>
      <c r="M50" s="37"/>
      <c r="N50" s="32"/>
      <c r="O50" s="215">
        <f>IF($B$4="Fixed Price",L50,0)</f>
        <v>0</v>
      </c>
      <c r="P50" s="37"/>
      <c r="Q50" s="18"/>
      <c r="S50" s="377"/>
      <c r="U50" s="41"/>
      <c r="V50" s="41"/>
      <c r="W50" s="41"/>
      <c r="X50" s="41"/>
      <c r="Y50" s="41"/>
      <c r="Z50" s="41"/>
      <c r="AA50" s="41"/>
      <c r="AB50" s="41"/>
      <c r="AC50" s="41"/>
      <c r="AD50" s="41"/>
      <c r="AE50" s="41"/>
      <c r="AF50" s="41"/>
      <c r="AG50" s="41"/>
      <c r="AH50" s="41"/>
      <c r="AI50" s="41"/>
      <c r="AJ50" s="41"/>
      <c r="AK50" s="41"/>
      <c r="AL50" s="41"/>
      <c r="AM50" s="41"/>
      <c r="AN50" s="41"/>
      <c r="AO50" s="41"/>
      <c r="AP50" s="41"/>
      <c r="AQ50" s="41"/>
      <c r="AR50" s="41"/>
      <c r="AS50" s="41"/>
      <c r="AT50" s="41"/>
      <c r="AU50" s="41"/>
      <c r="AV50" s="41"/>
      <c r="AW50" s="41"/>
      <c r="AX50" s="41"/>
      <c r="AY50" s="41"/>
      <c r="AZ50" s="41"/>
      <c r="BA50" s="41"/>
      <c r="BB50" s="41"/>
      <c r="BC50" s="41"/>
      <c r="BD50" s="41"/>
      <c r="BE50" s="41"/>
      <c r="BF50" s="41"/>
      <c r="BG50" s="41"/>
      <c r="BH50" s="41"/>
      <c r="BI50" s="41"/>
      <c r="BJ50" s="41"/>
      <c r="BK50" s="41"/>
      <c r="BL50" s="41"/>
      <c r="BM50" s="41"/>
      <c r="BN50" s="41"/>
      <c r="BO50" s="41"/>
      <c r="BP50" s="41"/>
      <c r="BQ50" s="41"/>
      <c r="BR50" s="41"/>
      <c r="BS50" s="41"/>
      <c r="BT50" s="41"/>
      <c r="BU50" s="41"/>
      <c r="BV50" s="41"/>
      <c r="BW50" s="41"/>
      <c r="BX50" s="41"/>
      <c r="BY50" s="41"/>
      <c r="BZ50" s="41"/>
      <c r="CA50" s="41"/>
      <c r="CB50" s="41"/>
      <c r="CC50" s="41"/>
      <c r="CD50" s="41"/>
      <c r="CE50" s="41"/>
      <c r="CF50" s="41"/>
      <c r="CG50" s="41"/>
      <c r="CH50" s="41"/>
      <c r="CI50" s="41"/>
      <c r="CJ50" s="41"/>
      <c r="CK50" s="41"/>
      <c r="CL50" s="41"/>
      <c r="CM50" s="41"/>
      <c r="CN50" s="41"/>
      <c r="CO50" s="41"/>
      <c r="CP50" s="41"/>
      <c r="CQ50" s="41"/>
      <c r="CR50" s="41"/>
      <c r="CS50" s="41"/>
      <c r="CT50" s="41"/>
      <c r="CU50" s="41"/>
      <c r="CV50" s="41"/>
      <c r="CW50" s="41"/>
      <c r="CX50" s="41"/>
      <c r="CY50" s="41"/>
      <c r="CZ50" s="41"/>
      <c r="DA50" s="41"/>
      <c r="DB50" s="41"/>
      <c r="DC50" s="41"/>
      <c r="DD50" s="41"/>
      <c r="DE50" s="41"/>
      <c r="DF50" s="41"/>
      <c r="DG50" s="41"/>
      <c r="DH50" s="41"/>
      <c r="DI50" s="41"/>
      <c r="DJ50" s="41"/>
      <c r="DK50" s="41"/>
      <c r="DL50" s="41"/>
      <c r="DM50" s="41"/>
      <c r="DN50" s="41"/>
      <c r="DO50" s="41"/>
      <c r="DP50" s="41"/>
      <c r="DQ50" s="41"/>
      <c r="DR50" s="41"/>
      <c r="DS50" s="41"/>
      <c r="DT50" s="41"/>
      <c r="DU50" s="41"/>
      <c r="DV50" s="41"/>
      <c r="DW50" s="41"/>
      <c r="DX50" s="41"/>
      <c r="DY50" s="41"/>
      <c r="DZ50" s="41"/>
      <c r="EA50" s="41"/>
      <c r="EB50" s="41"/>
      <c r="EC50" s="41"/>
      <c r="ED50" s="41"/>
      <c r="EE50" s="41"/>
      <c r="EF50" s="41"/>
      <c r="EG50" s="41"/>
      <c r="EH50" s="41"/>
      <c r="EI50" s="41"/>
      <c r="EJ50" s="41"/>
      <c r="EK50" s="41"/>
      <c r="EL50" s="41"/>
      <c r="EM50" s="41"/>
      <c r="EN50" s="41"/>
      <c r="EO50" s="41"/>
      <c r="EP50" s="41"/>
      <c r="EQ50" s="41"/>
      <c r="ER50" s="41"/>
    </row>
    <row r="51" spans="1:148" ht="15.6" x14ac:dyDescent="0.3">
      <c r="A51" s="14" t="s">
        <v>17</v>
      </c>
      <c r="G51" s="9">
        <f>G40+G48</f>
        <v>0</v>
      </c>
      <c r="H51" s="9">
        <f>H40+H48</f>
        <v>0</v>
      </c>
      <c r="I51" s="31"/>
      <c r="J51" s="36">
        <f>J40</f>
        <v>0</v>
      </c>
      <c r="K51" s="209"/>
      <c r="L51" s="209">
        <f>L50+L40</f>
        <v>0</v>
      </c>
      <c r="M51" s="36">
        <f>M40</f>
        <v>0</v>
      </c>
      <c r="N51" s="33"/>
      <c r="O51" s="209">
        <f>O40+O50</f>
        <v>0</v>
      </c>
      <c r="P51" s="36">
        <f>P40</f>
        <v>0</v>
      </c>
      <c r="Q51" s="15">
        <f>IF(ISBLANK(A51),"",IF(O51&gt;0,P51/O51,0))</f>
        <v>0</v>
      </c>
      <c r="R51" s="8">
        <f>IF(ISBLANK(A51),"",IF(J51&gt;0,1-O51/J51,1))</f>
        <v>1</v>
      </c>
      <c r="S51" s="372"/>
    </row>
    <row r="52" spans="1:148" ht="4.5" customHeight="1" thickBot="1" x14ac:dyDescent="0.35">
      <c r="I52" s="31"/>
      <c r="J52" s="36"/>
      <c r="K52" s="209"/>
      <c r="L52" s="209"/>
      <c r="M52" s="36"/>
      <c r="O52" s="209"/>
      <c r="P52" s="36"/>
    </row>
    <row r="53" spans="1:148" ht="15.75" customHeight="1" thickBot="1" x14ac:dyDescent="0.35">
      <c r="A53" s="64" t="s">
        <v>62</v>
      </c>
      <c r="B53" s="65"/>
      <c r="C53" s="65"/>
      <c r="D53" s="65"/>
      <c r="E53" s="65"/>
      <c r="F53" s="65"/>
      <c r="G53" s="66"/>
      <c r="H53" s="122"/>
      <c r="I53" s="67"/>
      <c r="J53" s="68"/>
      <c r="K53" s="216"/>
      <c r="L53" s="216"/>
      <c r="M53" s="68"/>
      <c r="N53" s="67"/>
      <c r="O53" s="222">
        <f>O51</f>
        <v>0</v>
      </c>
      <c r="P53" s="44">
        <f>O53-L51</f>
        <v>0</v>
      </c>
      <c r="Q53" s="45">
        <f>IF(ISBLANK(A53),"",IF(O53&gt;0,P53/O53,0))</f>
        <v>0</v>
      </c>
      <c r="R53" s="46">
        <f>IF(ISBLANK(A53),"",IF(J53&gt;0,1-O53/J53,1))</f>
        <v>1</v>
      </c>
      <c r="S53" s="372"/>
    </row>
    <row r="54" spans="1:148" ht="6" customHeight="1" x14ac:dyDescent="0.3">
      <c r="I54" s="31"/>
      <c r="J54" s="36"/>
      <c r="K54" s="209"/>
      <c r="L54" s="209"/>
      <c r="M54" s="36"/>
      <c r="O54" s="209"/>
      <c r="P54" s="36"/>
    </row>
    <row r="55" spans="1:148" outlineLevel="1" x14ac:dyDescent="0.3">
      <c r="A55" s="2" t="str">
        <f>IF($B$8="Estimate","Low Estimate","")</f>
        <v/>
      </c>
      <c r="G55" s="9">
        <f>G51*(1-$F$8)</f>
        <v>0</v>
      </c>
      <c r="H55" s="9">
        <f>H51*(1-$F$8)</f>
        <v>0</v>
      </c>
      <c r="I55" s="31"/>
      <c r="J55" s="36">
        <f>J51*(1-$F$8)</f>
        <v>0</v>
      </c>
      <c r="K55" s="209"/>
      <c r="L55" s="209">
        <f>L51*(1-$F$8)</f>
        <v>0</v>
      </c>
      <c r="M55" s="36">
        <f>M51*(1-$F$8)</f>
        <v>0</v>
      </c>
      <c r="N55" s="50"/>
      <c r="O55" s="209">
        <f>O51*(1-$F$8)</f>
        <v>0</v>
      </c>
      <c r="P55" s="36">
        <f>P51*(1-$F$8)</f>
        <v>0</v>
      </c>
      <c r="Q55" s="15">
        <f>IF(ISBLANK(A55),"",IF(O55&gt;0,P55/O55,0))</f>
        <v>0</v>
      </c>
      <c r="R55" s="8"/>
      <c r="S55" s="372"/>
    </row>
    <row r="56" spans="1:148" outlineLevel="1" x14ac:dyDescent="0.3">
      <c r="A56" s="2" t="str">
        <f>IF($B$8="Estimate","High Estimate","")</f>
        <v/>
      </c>
      <c r="G56" s="9">
        <f>G51*(1+$F$9)</f>
        <v>0</v>
      </c>
      <c r="H56" s="9">
        <f>H51*(1+$F$9)</f>
        <v>0</v>
      </c>
      <c r="I56" s="31"/>
      <c r="J56" s="36">
        <f>J51*(1+$F$9)</f>
        <v>0</v>
      </c>
      <c r="K56" s="209"/>
      <c r="L56" s="209">
        <f>L51*(1+$F$9)</f>
        <v>0</v>
      </c>
      <c r="M56" s="36">
        <f>M51*(1+$F$9)</f>
        <v>0</v>
      </c>
      <c r="N56" s="50"/>
      <c r="O56" s="209">
        <f>O51*(1+$F$9)</f>
        <v>0</v>
      </c>
      <c r="P56" s="36">
        <f>P51*(1+$F$9)</f>
        <v>0</v>
      </c>
      <c r="Q56" s="15">
        <f>IF(ISBLANK(A56),"",IF(O56&gt;0,P56/O56,0))</f>
        <v>0</v>
      </c>
      <c r="R56" s="8"/>
      <c r="S56" s="372"/>
    </row>
    <row r="57" spans="1:148" x14ac:dyDescent="0.3">
      <c r="I57" s="31"/>
    </row>
  </sheetData>
  <sheetProtection sheet="1" objects="1" scenarios="1" insertRows="0" sort="0" autoFilter="0" pivotTables="0"/>
  <mergeCells count="1">
    <mergeCell ref="A24:B24"/>
  </mergeCells>
  <phoneticPr fontId="7" type="noConversion"/>
  <dataValidations count="12">
    <dataValidation type="decimal" allowBlank="1" showInputMessage="1" showErrorMessage="1" sqref="F43">
      <formula1>0</formula1>
      <formula2>1</formula2>
    </dataValidation>
    <dataValidation type="list" showInputMessage="1" showErrorMessage="1" sqref="C8">
      <formula1>"Quote, Estimate, SELECT ONE"</formula1>
    </dataValidation>
    <dataValidation type="list" showInputMessage="1" showErrorMessage="1" sqref="C4">
      <formula1>"T&amp;M, Fixed Price, SELECT ONE"</formula1>
    </dataValidation>
    <dataValidation type="date" operator="greaterThan" allowBlank="1" showInputMessage="1" showErrorMessage="1" sqref="E43:E44 E28 E14:E23">
      <formula1>38353</formula1>
    </dataValidation>
    <dataValidation type="decimal" allowBlank="1" showInputMessage="1" showErrorMessage="1" sqref="F28:F34">
      <formula1>0</formula1>
      <formula2>5</formula2>
    </dataValidation>
    <dataValidation type="whole" showInputMessage="1" showErrorMessage="1" sqref="B9:C9">
      <formula1>8</formula1>
      <formula2>9</formula2>
    </dataValidation>
    <dataValidation type="date" operator="greaterThanOrEqual" allowBlank="1" showInputMessage="1" showErrorMessage="1" sqref="D14:D23 D45:E47 D28 D29:E34 D43:D44">
      <formula1>38353</formula1>
    </dataValidation>
    <dataValidation type="list" showInputMessage="1" showErrorMessage="1" sqref="B10">
      <formula1>"SELECT ONE, APAC, EU, NA"</formula1>
    </dataValidation>
    <dataValidation type="list" allowBlank="1" showInputMessage="1" showErrorMessage="1" sqref="B4">
      <formula1>"T&amp;M, Fixed Price, SELECT ONE"</formula1>
    </dataValidation>
    <dataValidation type="list" allowBlank="1" showInputMessage="1" showErrorMessage="1" sqref="B8">
      <formula1>"Quote, Estimate, Select One"</formula1>
    </dataValidation>
    <dataValidation type="list" allowBlank="1" showInputMessage="1" showErrorMessage="1" sqref="C14:C23">
      <formula1>"APAC, EU, NA, SELECT ONE, ERROR"</formula1>
    </dataValidation>
    <dataValidation type="decimal" allowBlank="1" showInputMessage="1" showErrorMessage="1" sqref="F14:F23">
      <formula1>0</formula1>
      <formula2>9</formula2>
    </dataValidation>
  </dataValidations>
  <pageMargins left="0.75" right="0.75" top="1" bottom="1" header="0.5" footer="0.5"/>
  <pageSetup scale="57" fitToHeight="5" orientation="landscape"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gsrates!$A$60:$A$96</xm:f>
          </x14:formula1>
          <xm:sqref>A23</xm:sqref>
        </x14:dataValidation>
        <x14:dataValidation type="list" allowBlank="1" showInputMessage="1" showErrorMessage="1">
          <x14:formula1>
            <xm:f>gsrates!$A$60:$A$96</xm:f>
          </x14:formula1>
          <xm:sqref>A14:A22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A1:EQ57"/>
  <sheetViews>
    <sheetView workbookViewId="0">
      <pane xSplit="2" ySplit="13" topLeftCell="C14" activePane="bottomRight" state="frozen"/>
      <selection pane="topRight" activeCell="C1" sqref="C1"/>
      <selection pane="bottomLeft" activeCell="A14" sqref="A14"/>
      <selection pane="bottomRight" activeCell="B6" sqref="B6"/>
    </sheetView>
  </sheetViews>
  <sheetFormatPr defaultColWidth="9.33203125" defaultRowHeight="13.8" outlineLevelRow="1" x14ac:dyDescent="0.3"/>
  <cols>
    <col min="1" max="1" width="30.33203125" style="2" customWidth="1"/>
    <col min="2" max="2" width="15.109375" style="2" bestFit="1" customWidth="1"/>
    <col min="3" max="3" width="15.109375" style="2" hidden="1" customWidth="1"/>
    <col min="4" max="4" width="10.44140625" style="2" customWidth="1"/>
    <col min="5" max="5" width="10.6640625" style="2" customWidth="1"/>
    <col min="6" max="6" width="13" style="2" bestFit="1" customWidth="1"/>
    <col min="7" max="7" width="11" style="2" bestFit="1" customWidth="1"/>
    <col min="8" max="8" width="11" style="116" customWidth="1"/>
    <col min="9" max="9" width="12.77734375" style="2" customWidth="1"/>
    <col min="10" max="10" width="15" style="2" bestFit="1" customWidth="1"/>
    <col min="11" max="11" width="12.33203125" style="203" customWidth="1"/>
    <col min="12" max="12" width="11.44140625" style="203" customWidth="1"/>
    <col min="13" max="13" width="11.44140625" style="2" customWidth="1"/>
    <col min="14" max="14" width="10.77734375" style="31" customWidth="1"/>
    <col min="15" max="15" width="14.109375" style="203" customWidth="1"/>
    <col min="16" max="16" width="11.44140625" style="2" customWidth="1"/>
    <col min="17" max="17" width="10" style="2" customWidth="1"/>
    <col min="18" max="18" width="11.109375" style="2" customWidth="1"/>
    <col min="19" max="19" width="9.33203125" style="260"/>
    <col min="20" max="20" width="9.33203125" style="41" hidden="1" customWidth="1"/>
    <col min="21" max="21" width="9.33203125" style="41"/>
    <col min="22" max="22" width="27.6640625" style="41" bestFit="1" customWidth="1"/>
    <col min="23" max="23" width="12.109375" style="41" customWidth="1"/>
    <col min="24" max="24" width="28.109375" style="41" hidden="1" customWidth="1"/>
    <col min="25" max="147" width="9.33203125" style="41"/>
    <col min="148" max="16384" width="9.33203125" style="2"/>
  </cols>
  <sheetData>
    <row r="1" spans="1:147" x14ac:dyDescent="0.3">
      <c r="A1" s="2" t="s">
        <v>0</v>
      </c>
      <c r="B1" s="139" t="str">
        <f>IF(ISBLANK(Summary!B1)," ",Summary!B1)</f>
        <v>&lt;Enter Account Name&gt;</v>
      </c>
      <c r="C1" s="141"/>
    </row>
    <row r="2" spans="1:147" x14ac:dyDescent="0.3">
      <c r="A2" s="2" t="s">
        <v>164</v>
      </c>
      <c r="B2" s="139" t="str">
        <f>IF(ISBLANK(Summary!B3)," ",Summary!B3)</f>
        <v>NEW ECR</v>
      </c>
      <c r="C2" s="141"/>
      <c r="V2" s="42"/>
      <c r="X2" s="41" t="s">
        <v>99</v>
      </c>
    </row>
    <row r="3" spans="1:147" x14ac:dyDescent="0.3">
      <c r="A3" s="2" t="s">
        <v>2</v>
      </c>
      <c r="B3" s="2" t="s">
        <v>76</v>
      </c>
      <c r="C3" s="127"/>
      <c r="G3" s="127"/>
      <c r="H3" s="223"/>
      <c r="I3" s="127"/>
      <c r="V3" s="42"/>
      <c r="X3" s="41" t="s">
        <v>100</v>
      </c>
    </row>
    <row r="4" spans="1:147" x14ac:dyDescent="0.3">
      <c r="A4" s="2" t="s">
        <v>3</v>
      </c>
      <c r="B4" s="139" t="str">
        <f>IF(ISBLANK(Summary!B5)," ",Summary!B5)</f>
        <v>Fixed Price</v>
      </c>
      <c r="C4" s="142"/>
      <c r="V4" s="42"/>
      <c r="X4" s="41" t="s">
        <v>169</v>
      </c>
    </row>
    <row r="5" spans="1:147" x14ac:dyDescent="0.3">
      <c r="A5" s="2" t="s">
        <v>150</v>
      </c>
      <c r="B5" s="99" t="str">
        <f>IF(ISBLANK(Summary!B6),"ADD on SUMMARY tab",Summary!B6)</f>
        <v>NA</v>
      </c>
      <c r="C5" s="99"/>
      <c r="G5" s="125" t="str">
        <f>IF(AND(O51&gt;0,O53=0),"Enter Total Price in N43"," ")</f>
        <v xml:space="preserve"> </v>
      </c>
      <c r="V5" s="42"/>
      <c r="X5" s="41" t="s">
        <v>101</v>
      </c>
    </row>
    <row r="6" spans="1:147" x14ac:dyDescent="0.3">
      <c r="A6" s="2" t="s">
        <v>4</v>
      </c>
      <c r="B6" s="88"/>
      <c r="C6" s="143"/>
      <c r="D6" s="4" t="str">
        <f>IF(B6&gt;MIN(D14:D34),"Staffing Starts before this date!",IF(B6&lt;MIN(D14:D34),"No staffing on start date!",""))</f>
        <v/>
      </c>
      <c r="E6"/>
      <c r="F6"/>
      <c r="G6"/>
      <c r="H6" s="117"/>
      <c r="I6"/>
      <c r="J6"/>
      <c r="K6" s="204"/>
      <c r="L6" s="204"/>
      <c r="M6"/>
      <c r="N6" s="50"/>
      <c r="O6" s="204"/>
      <c r="V6" s="42"/>
      <c r="X6" s="41" t="s">
        <v>102</v>
      </c>
    </row>
    <row r="7" spans="1:147" x14ac:dyDescent="0.3">
      <c r="A7" s="2" t="s">
        <v>5</v>
      </c>
      <c r="B7" s="88">
        <f>MAX(E14:E23)</f>
        <v>0</v>
      </c>
      <c r="C7" s="143"/>
      <c r="D7" s="4" t="str">
        <f>IF(B7&gt;MAX(E14:E34),"Staffing ends before project end date!",IF(B7&lt;MAX(E14:E34),"Staffing continues after end date!",""))</f>
        <v/>
      </c>
      <c r="E7"/>
      <c r="F7"/>
      <c r="G7"/>
      <c r="H7" s="117"/>
      <c r="I7"/>
      <c r="J7"/>
      <c r="K7" s="204"/>
      <c r="L7" s="204"/>
      <c r="M7"/>
      <c r="N7" s="50"/>
      <c r="O7" s="204"/>
      <c r="V7" s="42"/>
      <c r="X7" s="41" t="s">
        <v>103</v>
      </c>
    </row>
    <row r="8" spans="1:147" x14ac:dyDescent="0.3">
      <c r="A8" s="2" t="s">
        <v>6</v>
      </c>
      <c r="B8" s="139" t="str">
        <f>IF(ISBLANK(Summary!B9)," ",Summary!B9)</f>
        <v>Quote</v>
      </c>
      <c r="C8" s="142"/>
      <c r="E8" s="2" t="s">
        <v>160</v>
      </c>
      <c r="F8" s="89">
        <v>0.05</v>
      </c>
      <c r="V8" s="42"/>
      <c r="X8" s="41" t="s">
        <v>151</v>
      </c>
    </row>
    <row r="9" spans="1:147" x14ac:dyDescent="0.3">
      <c r="A9" s="2" t="s">
        <v>84</v>
      </c>
      <c r="B9" s="126">
        <v>8</v>
      </c>
      <c r="C9" s="144"/>
      <c r="E9" s="2" t="s">
        <v>159</v>
      </c>
      <c r="F9" s="89">
        <v>0.2</v>
      </c>
      <c r="V9" s="42"/>
      <c r="X9" s="41" t="s">
        <v>170</v>
      </c>
    </row>
    <row r="10" spans="1:147" x14ac:dyDescent="0.3">
      <c r="A10" s="2" t="s">
        <v>72</v>
      </c>
      <c r="B10" s="154" t="str">
        <f>IF(ISBLANK(Summary!B14),"SELECT ONE",Summary!B14)</f>
        <v>USD</v>
      </c>
      <c r="X10" s="41" t="s">
        <v>104</v>
      </c>
    </row>
    <row r="11" spans="1:147" x14ac:dyDescent="0.3">
      <c r="X11" s="41" t="s">
        <v>105</v>
      </c>
    </row>
    <row r="12" spans="1:147" x14ac:dyDescent="0.3">
      <c r="A12" s="3"/>
      <c r="B12" s="3"/>
      <c r="C12" s="3"/>
      <c r="D12" s="5"/>
      <c r="E12" s="5"/>
      <c r="F12" s="5"/>
      <c r="G12" s="6"/>
      <c r="H12" s="118"/>
      <c r="I12" s="6"/>
      <c r="J12" s="6"/>
      <c r="K12" s="205"/>
      <c r="L12" s="205"/>
      <c r="M12" s="6"/>
      <c r="N12" s="34" t="s">
        <v>85</v>
      </c>
      <c r="O12" s="205"/>
      <c r="P12" s="6"/>
      <c r="Q12" s="6"/>
      <c r="R12" s="6"/>
      <c r="X12" s="41" t="s">
        <v>106</v>
      </c>
    </row>
    <row r="13" spans="1:147" s="3" customFormat="1" x14ac:dyDescent="0.3">
      <c r="A13" s="12" t="s">
        <v>54</v>
      </c>
      <c r="B13" s="12" t="s">
        <v>55</v>
      </c>
      <c r="C13" s="12" t="s">
        <v>96</v>
      </c>
      <c r="D13" s="13" t="s">
        <v>56</v>
      </c>
      <c r="E13" s="13" t="s">
        <v>57</v>
      </c>
      <c r="F13" s="13" t="s">
        <v>7</v>
      </c>
      <c r="G13" s="13" t="s">
        <v>20</v>
      </c>
      <c r="H13" s="119" t="s">
        <v>83</v>
      </c>
      <c r="I13" s="35" t="s">
        <v>10</v>
      </c>
      <c r="J13" s="13" t="s">
        <v>58</v>
      </c>
      <c r="K13" s="206" t="s">
        <v>59</v>
      </c>
      <c r="L13" s="217" t="s">
        <v>31</v>
      </c>
      <c r="M13" s="13" t="s">
        <v>21</v>
      </c>
      <c r="N13" s="35" t="s">
        <v>22</v>
      </c>
      <c r="O13" s="217" t="s">
        <v>60</v>
      </c>
      <c r="P13" s="13" t="s">
        <v>32</v>
      </c>
      <c r="Q13" s="13" t="s">
        <v>23</v>
      </c>
      <c r="R13" s="13" t="s">
        <v>24</v>
      </c>
      <c r="S13" s="372"/>
      <c r="T13" s="43"/>
      <c r="U13" s="43"/>
      <c r="V13" s="43"/>
      <c r="W13" s="43"/>
      <c r="X13" s="41" t="s">
        <v>143</v>
      </c>
      <c r="Y13" s="43"/>
      <c r="Z13" s="43"/>
      <c r="AA13" s="43"/>
      <c r="AB13" s="43"/>
      <c r="AC13" s="43"/>
      <c r="AD13" s="43"/>
      <c r="AE13" s="43"/>
      <c r="AF13" s="43"/>
      <c r="AG13" s="43"/>
      <c r="AH13" s="43"/>
      <c r="AI13" s="43"/>
      <c r="AJ13" s="43"/>
      <c r="AK13" s="43"/>
      <c r="AL13" s="43"/>
      <c r="AM13" s="43"/>
      <c r="AN13" s="43"/>
      <c r="AO13" s="43"/>
      <c r="AP13" s="43"/>
      <c r="AQ13" s="43"/>
      <c r="AR13" s="43"/>
      <c r="AS13" s="43"/>
      <c r="AT13" s="43"/>
      <c r="AU13" s="43"/>
      <c r="AV13" s="43"/>
      <c r="AW13" s="43"/>
      <c r="AX13" s="43"/>
      <c r="AY13" s="43"/>
      <c r="AZ13" s="43"/>
      <c r="BA13" s="43"/>
      <c r="BB13" s="43"/>
      <c r="BC13" s="43"/>
      <c r="BD13" s="43"/>
      <c r="BE13" s="43"/>
      <c r="BF13" s="43"/>
      <c r="BG13" s="43"/>
      <c r="BH13" s="43"/>
      <c r="BI13" s="43"/>
      <c r="BJ13" s="43"/>
      <c r="BK13" s="43"/>
      <c r="BL13" s="43"/>
      <c r="BM13" s="43"/>
      <c r="BN13" s="43"/>
      <c r="BO13" s="43"/>
      <c r="BP13" s="43"/>
      <c r="BQ13" s="43"/>
      <c r="BR13" s="43"/>
      <c r="BS13" s="43"/>
      <c r="BT13" s="43"/>
      <c r="BU13" s="43"/>
      <c r="BV13" s="43"/>
      <c r="BW13" s="43"/>
      <c r="BX13" s="43"/>
      <c r="BY13" s="43"/>
      <c r="BZ13" s="43"/>
      <c r="CA13" s="43"/>
      <c r="CB13" s="43"/>
      <c r="CC13" s="43"/>
      <c r="CD13" s="43"/>
      <c r="CE13" s="43"/>
      <c r="CF13" s="43"/>
      <c r="CG13" s="43"/>
      <c r="CH13" s="43"/>
      <c r="CI13" s="43"/>
      <c r="CJ13" s="43"/>
      <c r="CK13" s="43"/>
      <c r="CL13" s="43"/>
      <c r="CM13" s="43"/>
      <c r="CN13" s="43"/>
      <c r="CO13" s="43"/>
      <c r="CP13" s="43"/>
      <c r="CQ13" s="43"/>
      <c r="CR13" s="43"/>
      <c r="CS13" s="43"/>
      <c r="CT13" s="43"/>
      <c r="CU13" s="43"/>
      <c r="CV13" s="43"/>
      <c r="CW13" s="43"/>
      <c r="CX13" s="43"/>
      <c r="CY13" s="43"/>
      <c r="CZ13" s="43"/>
      <c r="DA13" s="43"/>
      <c r="DB13" s="43"/>
      <c r="DC13" s="43"/>
      <c r="DD13" s="43"/>
      <c r="DE13" s="43"/>
      <c r="DF13" s="43"/>
      <c r="DG13" s="43"/>
      <c r="DH13" s="43"/>
      <c r="DI13" s="43"/>
      <c r="DJ13" s="43"/>
      <c r="DK13" s="43"/>
      <c r="DL13" s="43"/>
      <c r="DM13" s="43"/>
      <c r="DN13" s="43"/>
      <c r="DO13" s="43"/>
      <c r="DP13" s="43"/>
      <c r="DQ13" s="43"/>
      <c r="DR13" s="43"/>
      <c r="DS13" s="43"/>
      <c r="DT13" s="43"/>
      <c r="DU13" s="43"/>
      <c r="DV13" s="43"/>
      <c r="DW13" s="43"/>
      <c r="DX13" s="43"/>
      <c r="DY13" s="43"/>
      <c r="DZ13" s="43"/>
      <c r="EA13" s="43"/>
      <c r="EB13" s="43"/>
      <c r="EC13" s="43"/>
      <c r="ED13" s="43"/>
      <c r="EE13" s="43"/>
      <c r="EF13" s="43"/>
      <c r="EG13" s="43"/>
      <c r="EH13" s="43"/>
      <c r="EI13" s="43"/>
      <c r="EJ13" s="43"/>
      <c r="EK13" s="43"/>
      <c r="EL13" s="43"/>
      <c r="EM13" s="43"/>
      <c r="EN13" s="43"/>
      <c r="EO13" s="43"/>
      <c r="EP13" s="43"/>
      <c r="EQ13" s="43"/>
    </row>
    <row r="14" spans="1:147" outlineLevel="1" x14ac:dyDescent="0.3">
      <c r="A14" s="160" t="s">
        <v>99</v>
      </c>
      <c r="B14" s="160"/>
      <c r="C14" s="87"/>
      <c r="D14" s="161"/>
      <c r="E14" s="161"/>
      <c r="F14" s="162">
        <v>0.1</v>
      </c>
      <c r="G14" s="163">
        <f t="shared" ref="G14:G23" si="0">IF(ISBLANK(A14),"",NETWORKDAYS(D14,E14)*F14)</f>
        <v>0</v>
      </c>
      <c r="H14" s="164">
        <f t="shared" ref="H14:H23" si="1">IF(ISBLANK(A14),"",G14*$B$9)</f>
        <v>0</v>
      </c>
      <c r="I14" s="176">
        <f>IF(ISBLANK(A14),"",VLOOKUP(A14,gsrates!$A$3:$AK$38,VLOOKUP($B$5,gsrates!$A$41:$C$58,2,FALSE),FALSE))</f>
        <v>330</v>
      </c>
      <c r="J14" s="80">
        <f t="shared" ref="J14:J23" si="2">IF(ISBLANK(A14),"",H14*I14)</f>
        <v>0</v>
      </c>
      <c r="K14" s="207">
        <f>IF(ISBLANK(A14),"",VLOOKUP(A14,gsrates!$A$3:$AK$38,VLOOKUP($B$5,gsrates!$A$41:$C$58,3,FALSE),FALSE))</f>
        <v>162</v>
      </c>
      <c r="L14" s="207">
        <f t="shared" ref="L14:L23" si="3">IF(ISBLANK(A14),"",K14*G14*8)</f>
        <v>0</v>
      </c>
      <c r="M14" s="80">
        <f t="shared" ref="M14:M23" si="4">IF(ISBLANK(A14),"",J14-L14)</f>
        <v>0</v>
      </c>
      <c r="N14" s="177">
        <v>0</v>
      </c>
      <c r="O14" s="207">
        <f t="shared" ref="O14:O23" si="5">IF(ISBLANK(A14),"",G14*N14*$B$9)</f>
        <v>0</v>
      </c>
      <c r="P14" s="80">
        <f t="shared" ref="P14:P23" si="6">IF(ISBLANK(A14),"",O14-L14)</f>
        <v>0</v>
      </c>
      <c r="Q14" s="155" t="e">
        <f t="shared" ref="Q14:Q23" si="7">IF(ISBLANK(A14),"",P14/O14)</f>
        <v>#DIV/0!</v>
      </c>
      <c r="R14" s="166" t="e">
        <f t="shared" ref="R14:R23" si="8">IF(ISBLANK(A14),"",1-O14/J14)</f>
        <v>#DIV/0!</v>
      </c>
      <c r="S14" s="373">
        <f>IF(ISBLANK(A14),"",VLOOKUP(A14,gsrates!$A$3:$AL$38,38,FALSE))</f>
        <v>0</v>
      </c>
      <c r="T14" s="41" t="str">
        <f t="shared" ref="T14:T23" si="9">IF(ISBLANK(A14),"",CONCATENATE(C14,"-",$B$5))</f>
        <v>-NA</v>
      </c>
      <c r="U14" s="388">
        <f>IF(S14=1,H14,0)</f>
        <v>0</v>
      </c>
      <c r="X14" s="41" t="s">
        <v>162</v>
      </c>
    </row>
    <row r="15" spans="1:147" outlineLevel="1" x14ac:dyDescent="0.3">
      <c r="A15" s="160"/>
      <c r="B15" s="160"/>
      <c r="C15" s="87"/>
      <c r="D15" s="161"/>
      <c r="E15" s="161"/>
      <c r="F15" s="162"/>
      <c r="G15" s="163" t="str">
        <f t="shared" si="0"/>
        <v/>
      </c>
      <c r="H15" s="164" t="str">
        <f t="shared" si="1"/>
        <v/>
      </c>
      <c r="I15" s="176" t="str">
        <f>IF(ISBLANK(A15),"",VLOOKUP(A15,gsrates!$A$3:$AK$38,VLOOKUP($B$5,gsrates!$A$41:$C$58,2,FALSE),FALSE))</f>
        <v/>
      </c>
      <c r="J15" s="80" t="str">
        <f t="shared" si="2"/>
        <v/>
      </c>
      <c r="K15" s="207" t="str">
        <f>IF(ISBLANK(A15),"",VLOOKUP(A15,gsrates!$A$3:$AK$38,VLOOKUP($B$5,gsrates!$A$41:$C$58,3,FALSE),FALSE))</f>
        <v/>
      </c>
      <c r="L15" s="207" t="str">
        <f t="shared" si="3"/>
        <v/>
      </c>
      <c r="M15" s="80" t="str">
        <f t="shared" si="4"/>
        <v/>
      </c>
      <c r="N15" s="177">
        <v>0</v>
      </c>
      <c r="O15" s="207" t="str">
        <f t="shared" si="5"/>
        <v/>
      </c>
      <c r="P15" s="80" t="str">
        <f t="shared" si="6"/>
        <v/>
      </c>
      <c r="Q15" s="155" t="str">
        <f t="shared" si="7"/>
        <v/>
      </c>
      <c r="R15" s="166" t="str">
        <f t="shared" si="8"/>
        <v/>
      </c>
      <c r="S15" s="373" t="str">
        <f>IF(ISBLANK(A15),"",VLOOKUP(A15,gsrates!$A$3:$AL$38,38,FALSE))</f>
        <v/>
      </c>
      <c r="T15" s="41" t="str">
        <f t="shared" si="9"/>
        <v/>
      </c>
      <c r="U15" s="388">
        <f t="shared" ref="U15:U23" si="10">IF(S15=1,H15,0)</f>
        <v>0</v>
      </c>
    </row>
    <row r="16" spans="1:147" outlineLevel="1" x14ac:dyDescent="0.3">
      <c r="A16" s="160"/>
      <c r="B16" s="160"/>
      <c r="C16" s="87"/>
      <c r="D16" s="161"/>
      <c r="E16" s="161"/>
      <c r="F16" s="162"/>
      <c r="G16" s="163" t="str">
        <f t="shared" si="0"/>
        <v/>
      </c>
      <c r="H16" s="164" t="str">
        <f t="shared" si="1"/>
        <v/>
      </c>
      <c r="I16" s="176" t="str">
        <f>IF(ISBLANK(A16),"",VLOOKUP(A16,gsrates!$A$3:$AK$38,VLOOKUP($B$5,gsrates!$A$41:$C$58,2,FALSE),FALSE))</f>
        <v/>
      </c>
      <c r="J16" s="80" t="str">
        <f t="shared" si="2"/>
        <v/>
      </c>
      <c r="K16" s="207" t="str">
        <f>IF(ISBLANK(A16),"",VLOOKUP(A16,gsrates!$A$3:$AK$38,VLOOKUP($B$5,gsrates!$A$41:$C$58,3,FALSE),FALSE))</f>
        <v/>
      </c>
      <c r="L16" s="207" t="str">
        <f t="shared" si="3"/>
        <v/>
      </c>
      <c r="M16" s="80" t="str">
        <f t="shared" si="4"/>
        <v/>
      </c>
      <c r="N16" s="177">
        <v>0</v>
      </c>
      <c r="O16" s="207" t="str">
        <f t="shared" si="5"/>
        <v/>
      </c>
      <c r="P16" s="80" t="str">
        <f t="shared" si="6"/>
        <v/>
      </c>
      <c r="Q16" s="155" t="str">
        <f t="shared" si="7"/>
        <v/>
      </c>
      <c r="R16" s="166" t="str">
        <f t="shared" si="8"/>
        <v/>
      </c>
      <c r="S16" s="373" t="str">
        <f>IF(ISBLANK(A16),"",VLOOKUP(A16,gsrates!$A$3:$AL$38,38,FALSE))</f>
        <v/>
      </c>
      <c r="T16" s="41" t="str">
        <f t="shared" si="9"/>
        <v/>
      </c>
      <c r="U16" s="388">
        <f t="shared" si="10"/>
        <v>0</v>
      </c>
    </row>
    <row r="17" spans="1:147" outlineLevel="1" x14ac:dyDescent="0.3">
      <c r="A17" s="160"/>
      <c r="B17" s="160"/>
      <c r="C17" s="87"/>
      <c r="D17" s="161"/>
      <c r="E17" s="161"/>
      <c r="F17" s="162"/>
      <c r="G17" s="163" t="str">
        <f t="shared" si="0"/>
        <v/>
      </c>
      <c r="H17" s="164" t="str">
        <f t="shared" si="1"/>
        <v/>
      </c>
      <c r="I17" s="176" t="str">
        <f>IF(ISBLANK(A17),"",VLOOKUP(A17,gsrates!$A$3:$AK$38,VLOOKUP($B$5,gsrates!$A$41:$C$58,2,FALSE),FALSE))</f>
        <v/>
      </c>
      <c r="J17" s="80" t="str">
        <f t="shared" si="2"/>
        <v/>
      </c>
      <c r="K17" s="207" t="str">
        <f>IF(ISBLANK(A17),"",VLOOKUP(A17,gsrates!$A$3:$AK$38,VLOOKUP($B$5,gsrates!$A$41:$C$58,3,FALSE),FALSE))</f>
        <v/>
      </c>
      <c r="L17" s="207" t="str">
        <f t="shared" si="3"/>
        <v/>
      </c>
      <c r="M17" s="80" t="str">
        <f t="shared" si="4"/>
        <v/>
      </c>
      <c r="N17" s="177">
        <v>0</v>
      </c>
      <c r="O17" s="207" t="str">
        <f t="shared" si="5"/>
        <v/>
      </c>
      <c r="P17" s="80" t="str">
        <f t="shared" si="6"/>
        <v/>
      </c>
      <c r="Q17" s="155" t="str">
        <f t="shared" si="7"/>
        <v/>
      </c>
      <c r="R17" s="166" t="str">
        <f t="shared" si="8"/>
        <v/>
      </c>
      <c r="S17" s="373" t="str">
        <f>IF(ISBLANK(A17),"",VLOOKUP(A17,gsrates!$A$3:$AL$38,38,FALSE))</f>
        <v/>
      </c>
      <c r="T17" s="41" t="str">
        <f t="shared" si="9"/>
        <v/>
      </c>
      <c r="U17" s="388">
        <f t="shared" si="10"/>
        <v>0</v>
      </c>
    </row>
    <row r="18" spans="1:147" outlineLevel="1" x14ac:dyDescent="0.3">
      <c r="A18" s="160"/>
      <c r="B18" s="160"/>
      <c r="C18" s="87"/>
      <c r="D18" s="161"/>
      <c r="E18" s="161"/>
      <c r="F18" s="162"/>
      <c r="G18" s="163" t="str">
        <f t="shared" si="0"/>
        <v/>
      </c>
      <c r="H18" s="164" t="str">
        <f t="shared" si="1"/>
        <v/>
      </c>
      <c r="I18" s="176" t="str">
        <f>IF(ISBLANK(A18),"",VLOOKUP(A18,gsrates!$A$3:$AK$38,VLOOKUP($B$5,gsrates!$A$41:$C$58,2,FALSE),FALSE))</f>
        <v/>
      </c>
      <c r="J18" s="80" t="str">
        <f t="shared" si="2"/>
        <v/>
      </c>
      <c r="K18" s="207" t="str">
        <f>IF(ISBLANK(A18),"",VLOOKUP(A18,gsrates!$A$3:$AK$38,VLOOKUP($B$5,gsrates!$A$41:$C$58,3,FALSE),FALSE))</f>
        <v/>
      </c>
      <c r="L18" s="207" t="str">
        <f t="shared" si="3"/>
        <v/>
      </c>
      <c r="M18" s="80" t="str">
        <f t="shared" si="4"/>
        <v/>
      </c>
      <c r="N18" s="177">
        <v>0</v>
      </c>
      <c r="O18" s="207" t="str">
        <f t="shared" si="5"/>
        <v/>
      </c>
      <c r="P18" s="80" t="str">
        <f t="shared" si="6"/>
        <v/>
      </c>
      <c r="Q18" s="155" t="str">
        <f t="shared" si="7"/>
        <v/>
      </c>
      <c r="R18" s="166" t="str">
        <f t="shared" si="8"/>
        <v/>
      </c>
      <c r="S18" s="373" t="str">
        <f>IF(ISBLANK(A18),"",VLOOKUP(A18,gsrates!$A$3:$AL$38,38,FALSE))</f>
        <v/>
      </c>
      <c r="T18" s="41" t="str">
        <f t="shared" si="9"/>
        <v/>
      </c>
      <c r="U18" s="388">
        <f t="shared" si="10"/>
        <v>0</v>
      </c>
    </row>
    <row r="19" spans="1:147" outlineLevel="1" x14ac:dyDescent="0.3">
      <c r="A19" s="160"/>
      <c r="B19" s="160"/>
      <c r="C19" s="87"/>
      <c r="D19" s="161"/>
      <c r="E19" s="161"/>
      <c r="F19" s="162"/>
      <c r="G19" s="163" t="str">
        <f t="shared" si="0"/>
        <v/>
      </c>
      <c r="H19" s="164" t="str">
        <f t="shared" si="1"/>
        <v/>
      </c>
      <c r="I19" s="176" t="str">
        <f>IF(ISBLANK(A19),"",VLOOKUP(A19,gsrates!$A$3:$AK$38,VLOOKUP($B$5,gsrates!$A$41:$C$58,2,FALSE),FALSE))</f>
        <v/>
      </c>
      <c r="J19" s="80" t="str">
        <f t="shared" si="2"/>
        <v/>
      </c>
      <c r="K19" s="207" t="str">
        <f>IF(ISBLANK(A19),"",VLOOKUP(A19,gsrates!$A$3:$AK$38,VLOOKUP($B$5,gsrates!$A$41:$C$58,3,FALSE),FALSE))</f>
        <v/>
      </c>
      <c r="L19" s="207" t="str">
        <f t="shared" si="3"/>
        <v/>
      </c>
      <c r="M19" s="80" t="str">
        <f t="shared" si="4"/>
        <v/>
      </c>
      <c r="N19" s="177">
        <v>0</v>
      </c>
      <c r="O19" s="207" t="str">
        <f t="shared" si="5"/>
        <v/>
      </c>
      <c r="P19" s="80" t="str">
        <f t="shared" si="6"/>
        <v/>
      </c>
      <c r="Q19" s="155" t="str">
        <f t="shared" si="7"/>
        <v/>
      </c>
      <c r="R19" s="166" t="str">
        <f t="shared" si="8"/>
        <v/>
      </c>
      <c r="S19" s="373" t="str">
        <f>IF(ISBLANK(A19),"",VLOOKUP(A19,gsrates!$A$3:$AL$38,38,FALSE))</f>
        <v/>
      </c>
      <c r="T19" s="41" t="str">
        <f t="shared" si="9"/>
        <v/>
      </c>
      <c r="U19" s="388">
        <f t="shared" si="10"/>
        <v>0</v>
      </c>
    </row>
    <row r="20" spans="1:147" outlineLevel="1" x14ac:dyDescent="0.3">
      <c r="A20" s="160"/>
      <c r="B20" s="160"/>
      <c r="C20" s="87"/>
      <c r="D20" s="161"/>
      <c r="E20" s="161"/>
      <c r="F20" s="162"/>
      <c r="G20" s="163" t="str">
        <f t="shared" si="0"/>
        <v/>
      </c>
      <c r="H20" s="164" t="str">
        <f t="shared" si="1"/>
        <v/>
      </c>
      <c r="I20" s="176" t="str">
        <f>IF(ISBLANK(A20),"",VLOOKUP(A20,gsrates!$A$3:$AK$38,VLOOKUP($B$5,gsrates!$A$41:$C$58,2,FALSE),FALSE))</f>
        <v/>
      </c>
      <c r="J20" s="80" t="str">
        <f t="shared" si="2"/>
        <v/>
      </c>
      <c r="K20" s="207" t="str">
        <f>IF(ISBLANK(A20),"",VLOOKUP(A20,gsrates!$A$3:$AK$38,VLOOKUP($B$5,gsrates!$A$41:$C$58,3,FALSE),FALSE))</f>
        <v/>
      </c>
      <c r="L20" s="207" t="str">
        <f t="shared" si="3"/>
        <v/>
      </c>
      <c r="M20" s="80" t="str">
        <f t="shared" si="4"/>
        <v/>
      </c>
      <c r="N20" s="177">
        <v>0</v>
      </c>
      <c r="O20" s="207" t="str">
        <f t="shared" si="5"/>
        <v/>
      </c>
      <c r="P20" s="80" t="str">
        <f t="shared" si="6"/>
        <v/>
      </c>
      <c r="Q20" s="155" t="str">
        <f t="shared" si="7"/>
        <v/>
      </c>
      <c r="R20" s="166" t="str">
        <f t="shared" si="8"/>
        <v/>
      </c>
      <c r="S20" s="373" t="str">
        <f>IF(ISBLANK(A20),"",VLOOKUP(A20,gsrates!$A$3:$AL$38,38,FALSE))</f>
        <v/>
      </c>
      <c r="T20" s="41" t="str">
        <f t="shared" si="9"/>
        <v/>
      </c>
      <c r="U20" s="388">
        <f t="shared" si="10"/>
        <v>0</v>
      </c>
    </row>
    <row r="21" spans="1:147" outlineLevel="1" x14ac:dyDescent="0.3">
      <c r="A21" s="160"/>
      <c r="B21" s="160"/>
      <c r="C21" s="87"/>
      <c r="D21" s="161"/>
      <c r="E21" s="161"/>
      <c r="F21" s="162"/>
      <c r="G21" s="163" t="str">
        <f t="shared" si="0"/>
        <v/>
      </c>
      <c r="H21" s="164" t="str">
        <f t="shared" si="1"/>
        <v/>
      </c>
      <c r="I21" s="176" t="str">
        <f>IF(ISBLANK(A21),"",VLOOKUP(A21,gsrates!$A$3:$AK$38,VLOOKUP($B$5,gsrates!$A$41:$C$58,2,FALSE),FALSE))</f>
        <v/>
      </c>
      <c r="J21" s="80" t="str">
        <f t="shared" si="2"/>
        <v/>
      </c>
      <c r="K21" s="207" t="str">
        <f>IF(ISBLANK(A21),"",VLOOKUP(A21,gsrates!$A$3:$AK$38,VLOOKUP($B$5,gsrates!$A$41:$C$58,3,FALSE),FALSE))</f>
        <v/>
      </c>
      <c r="L21" s="207" t="str">
        <f t="shared" si="3"/>
        <v/>
      </c>
      <c r="M21" s="80" t="str">
        <f t="shared" si="4"/>
        <v/>
      </c>
      <c r="N21" s="177">
        <v>0</v>
      </c>
      <c r="O21" s="207" t="str">
        <f t="shared" si="5"/>
        <v/>
      </c>
      <c r="P21" s="80" t="str">
        <f t="shared" si="6"/>
        <v/>
      </c>
      <c r="Q21" s="155" t="str">
        <f t="shared" si="7"/>
        <v/>
      </c>
      <c r="R21" s="166" t="str">
        <f t="shared" si="8"/>
        <v/>
      </c>
      <c r="S21" s="373" t="str">
        <f>IF(ISBLANK(A21),"",VLOOKUP(A21,gsrates!$A$3:$AL$38,38,FALSE))</f>
        <v/>
      </c>
      <c r="T21" s="41" t="str">
        <f t="shared" si="9"/>
        <v/>
      </c>
      <c r="U21" s="388">
        <f t="shared" si="10"/>
        <v>0</v>
      </c>
    </row>
    <row r="22" spans="1:147" outlineLevel="1" x14ac:dyDescent="0.3">
      <c r="A22" s="160"/>
      <c r="B22" s="160"/>
      <c r="C22" s="87"/>
      <c r="D22" s="161"/>
      <c r="E22" s="161"/>
      <c r="F22" s="162"/>
      <c r="G22" s="163" t="str">
        <f t="shared" si="0"/>
        <v/>
      </c>
      <c r="H22" s="164" t="str">
        <f t="shared" si="1"/>
        <v/>
      </c>
      <c r="I22" s="176" t="str">
        <f>IF(ISBLANK(A22),"",VLOOKUP(A22,gsrates!$A$3:$AK$38,VLOOKUP($B$5,gsrates!$A$41:$C$58,2,FALSE),FALSE))</f>
        <v/>
      </c>
      <c r="J22" s="80" t="str">
        <f t="shared" si="2"/>
        <v/>
      </c>
      <c r="K22" s="207" t="str">
        <f>IF(ISBLANK(A22),"",VLOOKUP(A22,gsrates!$A$3:$AK$38,VLOOKUP($B$5,gsrates!$A$41:$C$58,3,FALSE),FALSE))</f>
        <v/>
      </c>
      <c r="L22" s="207" t="str">
        <f t="shared" si="3"/>
        <v/>
      </c>
      <c r="M22" s="80" t="str">
        <f t="shared" si="4"/>
        <v/>
      </c>
      <c r="N22" s="177">
        <v>0</v>
      </c>
      <c r="O22" s="207" t="str">
        <f t="shared" si="5"/>
        <v/>
      </c>
      <c r="P22" s="80" t="str">
        <f t="shared" si="6"/>
        <v/>
      </c>
      <c r="Q22" s="155" t="str">
        <f t="shared" si="7"/>
        <v/>
      </c>
      <c r="R22" s="166" t="str">
        <f t="shared" si="8"/>
        <v/>
      </c>
      <c r="S22" s="373" t="str">
        <f>IF(ISBLANK(A22),"",VLOOKUP(A22,gsrates!$A$3:$AL$38,38,FALSE))</f>
        <v/>
      </c>
      <c r="T22" s="41" t="str">
        <f t="shared" si="9"/>
        <v/>
      </c>
      <c r="U22" s="388">
        <f t="shared" si="10"/>
        <v>0</v>
      </c>
    </row>
    <row r="23" spans="1:147" s="11" customFormat="1" ht="14.4" outlineLevel="1" thickBot="1" x14ac:dyDescent="0.35">
      <c r="A23" s="167"/>
      <c r="B23" s="167"/>
      <c r="C23" s="167"/>
      <c r="D23" s="168"/>
      <c r="E23" s="168"/>
      <c r="F23" s="169"/>
      <c r="G23" s="170" t="str">
        <f t="shared" si="0"/>
        <v/>
      </c>
      <c r="H23" s="171" t="str">
        <f t="shared" si="1"/>
        <v/>
      </c>
      <c r="I23" s="178" t="str">
        <f>IF(ISBLANK(A23),"",VLOOKUP(A23,gsrates!$A$3:$AK$38,VLOOKUP($B$5,gsrates!$A$41:$C$58,2,FALSE),FALSE))</f>
        <v/>
      </c>
      <c r="J23" s="82" t="str">
        <f t="shared" si="2"/>
        <v/>
      </c>
      <c r="K23" s="208" t="str">
        <f>IF(ISBLANK(A23),"",VLOOKUP(A23,gsrates!$A$3:$AK$38,VLOOKUP($B$5,gsrates!$A$41:$C$58,3,FALSE),FALSE))</f>
        <v/>
      </c>
      <c r="L23" s="208" t="str">
        <f t="shared" si="3"/>
        <v/>
      </c>
      <c r="M23" s="82" t="str">
        <f t="shared" si="4"/>
        <v/>
      </c>
      <c r="N23" s="175">
        <v>0</v>
      </c>
      <c r="O23" s="208" t="str">
        <f t="shared" si="5"/>
        <v/>
      </c>
      <c r="P23" s="82" t="str">
        <f t="shared" si="6"/>
        <v/>
      </c>
      <c r="Q23" s="158" t="str">
        <f t="shared" si="7"/>
        <v/>
      </c>
      <c r="R23" s="173" t="str">
        <f t="shared" si="8"/>
        <v/>
      </c>
      <c r="S23" s="373" t="str">
        <f>IF(ISBLANK(A23),"",VLOOKUP(A23,gsrates!$A$3:$AL$38,38,FALSE))</f>
        <v/>
      </c>
      <c r="T23" s="41" t="str">
        <f t="shared" si="9"/>
        <v/>
      </c>
      <c r="U23" s="388">
        <f t="shared" si="10"/>
        <v>0</v>
      </c>
      <c r="V23" s="41"/>
      <c r="W23" s="41"/>
      <c r="X23" s="41"/>
      <c r="Y23" s="41"/>
      <c r="Z23" s="41"/>
      <c r="AA23" s="41"/>
      <c r="AB23" s="41"/>
      <c r="AC23" s="41"/>
      <c r="AD23" s="41"/>
      <c r="AE23" s="41"/>
      <c r="AF23" s="41"/>
      <c r="AG23" s="41"/>
      <c r="AH23" s="41"/>
      <c r="AI23" s="41"/>
      <c r="AJ23" s="41"/>
      <c r="AK23" s="41"/>
      <c r="AL23" s="41"/>
      <c r="AM23" s="41"/>
      <c r="AN23" s="41"/>
      <c r="AO23" s="41"/>
      <c r="AP23" s="41"/>
      <c r="AQ23" s="41"/>
      <c r="AR23" s="41"/>
      <c r="AS23" s="41"/>
      <c r="AT23" s="41"/>
      <c r="AU23" s="41"/>
      <c r="AV23" s="41"/>
      <c r="AW23" s="41"/>
      <c r="AX23" s="41"/>
      <c r="AY23" s="41"/>
      <c r="AZ23" s="41"/>
      <c r="BA23" s="41"/>
      <c r="BB23" s="41"/>
      <c r="BC23" s="41"/>
      <c r="BD23" s="41"/>
      <c r="BE23" s="41"/>
      <c r="BF23" s="41"/>
      <c r="BG23" s="41"/>
      <c r="BH23" s="41"/>
      <c r="BI23" s="41"/>
      <c r="BJ23" s="41"/>
      <c r="BK23" s="41"/>
      <c r="BL23" s="41"/>
      <c r="BM23" s="41"/>
      <c r="BN23" s="41"/>
      <c r="BO23" s="41"/>
      <c r="BP23" s="41"/>
      <c r="BQ23" s="41"/>
      <c r="BR23" s="41"/>
      <c r="BS23" s="41"/>
      <c r="BT23" s="41"/>
      <c r="BU23" s="41"/>
      <c r="BV23" s="41"/>
      <c r="BW23" s="41"/>
      <c r="BX23" s="41"/>
      <c r="BY23" s="41"/>
      <c r="BZ23" s="41"/>
      <c r="CA23" s="41"/>
      <c r="CB23" s="41"/>
      <c r="CC23" s="41"/>
      <c r="CD23" s="41"/>
      <c r="CE23" s="41"/>
      <c r="CF23" s="41"/>
      <c r="CG23" s="41"/>
      <c r="CH23" s="41"/>
      <c r="CI23" s="41"/>
      <c r="CJ23" s="41"/>
      <c r="CK23" s="41"/>
      <c r="CL23" s="41"/>
      <c r="CM23" s="41"/>
      <c r="CN23" s="41"/>
      <c r="CO23" s="41"/>
      <c r="CP23" s="41"/>
      <c r="CQ23" s="41"/>
      <c r="CR23" s="41"/>
      <c r="CS23" s="41"/>
      <c r="CT23" s="41"/>
      <c r="CU23" s="41"/>
      <c r="CV23" s="41"/>
      <c r="CW23" s="41"/>
      <c r="CX23" s="41"/>
      <c r="CY23" s="41"/>
      <c r="CZ23" s="41"/>
      <c r="DA23" s="41"/>
      <c r="DB23" s="41"/>
      <c r="DC23" s="41"/>
      <c r="DD23" s="41"/>
      <c r="DE23" s="41"/>
      <c r="DF23" s="41"/>
      <c r="DG23" s="41"/>
      <c r="DH23" s="41"/>
      <c r="DI23" s="41"/>
      <c r="DJ23" s="41"/>
      <c r="DK23" s="41"/>
      <c r="DL23" s="41"/>
      <c r="DM23" s="41"/>
      <c r="DN23" s="41"/>
      <c r="DO23" s="41"/>
      <c r="DP23" s="41"/>
      <c r="DQ23" s="41"/>
      <c r="DR23" s="41"/>
      <c r="DS23" s="41"/>
      <c r="DT23" s="41"/>
      <c r="DU23" s="41"/>
      <c r="DV23" s="41"/>
      <c r="DW23" s="41"/>
      <c r="DX23" s="41"/>
      <c r="DY23" s="41"/>
      <c r="DZ23" s="41"/>
      <c r="EA23" s="41"/>
      <c r="EB23" s="41"/>
      <c r="EC23" s="41"/>
      <c r="ED23" s="41"/>
      <c r="EE23" s="41"/>
      <c r="EF23" s="41"/>
      <c r="EG23" s="41"/>
      <c r="EH23" s="41"/>
      <c r="EI23" s="41"/>
      <c r="EJ23" s="41"/>
      <c r="EK23" s="41"/>
      <c r="EL23" s="41"/>
      <c r="EM23" s="41"/>
      <c r="EN23" s="41"/>
      <c r="EO23" s="41"/>
      <c r="EP23" s="41"/>
      <c r="EQ23" s="41"/>
    </row>
    <row r="24" spans="1:147" x14ac:dyDescent="0.3">
      <c r="A24" s="393" t="s">
        <v>11</v>
      </c>
      <c r="B24" s="393"/>
      <c r="C24" s="43"/>
      <c r="D24" s="7"/>
      <c r="E24" s="7"/>
      <c r="F24" s="8"/>
      <c r="G24" s="9">
        <f>SUM(G14:G23)</f>
        <v>0</v>
      </c>
      <c r="H24" s="9">
        <f>SUM(H14:H23)</f>
        <v>0</v>
      </c>
      <c r="I24" s="31"/>
      <c r="J24" s="36">
        <f>SUM(J14:J23)</f>
        <v>0</v>
      </c>
      <c r="K24" s="209"/>
      <c r="L24" s="209">
        <f>SUM(L14:L23)</f>
        <v>0</v>
      </c>
      <c r="M24" s="36">
        <f>SUM(M14:M23)</f>
        <v>0</v>
      </c>
      <c r="N24" s="33"/>
      <c r="O24" s="209">
        <f>SUM(O14:O23)</f>
        <v>0</v>
      </c>
      <c r="P24" s="36">
        <f>SUM(P14:P23)</f>
        <v>0</v>
      </c>
      <c r="Q24" s="15" t="str">
        <f>IF(G24=0,"",P24/O24)</f>
        <v/>
      </c>
      <c r="R24" s="8" t="str">
        <f>IF(G24=0,"",1-O24/J24)</f>
        <v/>
      </c>
      <c r="S24" s="374">
        <f>SUM(S14:S23)</f>
        <v>0</v>
      </c>
      <c r="U24" s="374">
        <f>SUM(U14:U23)</f>
        <v>0</v>
      </c>
    </row>
    <row r="25" spans="1:147" x14ac:dyDescent="0.3">
      <c r="D25" s="7"/>
      <c r="E25" s="7"/>
      <c r="F25" s="8"/>
      <c r="G25" s="9"/>
      <c r="H25" s="9"/>
      <c r="I25" s="31"/>
      <c r="J25" s="36"/>
      <c r="K25" s="209"/>
      <c r="L25" s="209"/>
      <c r="M25" s="36"/>
      <c r="N25" s="33"/>
      <c r="O25" s="209"/>
      <c r="P25" s="36"/>
      <c r="Q25" s="10"/>
      <c r="R25" s="8"/>
    </row>
    <row r="26" spans="1:147" outlineLevel="1" x14ac:dyDescent="0.3">
      <c r="B26" s="3"/>
      <c r="C26" s="3"/>
      <c r="D26" s="5"/>
      <c r="E26" s="5"/>
      <c r="F26" s="5"/>
      <c r="G26" s="6"/>
      <c r="H26" s="118"/>
      <c r="I26" s="34"/>
      <c r="J26" s="38"/>
      <c r="K26" s="210"/>
      <c r="L26" s="210"/>
      <c r="M26" s="38"/>
      <c r="N26" s="34"/>
      <c r="O26" s="210"/>
      <c r="P26" s="38"/>
      <c r="Q26" s="6"/>
      <c r="R26" s="6"/>
    </row>
    <row r="27" spans="1:147" outlineLevel="1" x14ac:dyDescent="0.3">
      <c r="A27" s="12" t="s">
        <v>12</v>
      </c>
      <c r="B27" s="12" t="s">
        <v>55</v>
      </c>
      <c r="C27" s="12"/>
      <c r="D27" s="13" t="s">
        <v>56</v>
      </c>
      <c r="E27" s="13" t="s">
        <v>57</v>
      </c>
      <c r="F27" s="13" t="s">
        <v>7</v>
      </c>
      <c r="G27" s="13" t="s">
        <v>20</v>
      </c>
      <c r="H27" s="119" t="s">
        <v>83</v>
      </c>
      <c r="I27" s="40" t="s">
        <v>10</v>
      </c>
      <c r="J27" s="13" t="s">
        <v>58</v>
      </c>
      <c r="K27" s="206" t="s">
        <v>59</v>
      </c>
      <c r="L27" s="218" t="s">
        <v>31</v>
      </c>
      <c r="M27" s="39" t="s">
        <v>21</v>
      </c>
      <c r="N27" s="35" t="s">
        <v>22</v>
      </c>
      <c r="O27" s="218" t="s">
        <v>60</v>
      </c>
      <c r="P27" s="13" t="s">
        <v>32</v>
      </c>
      <c r="Q27" s="13" t="s">
        <v>23</v>
      </c>
      <c r="R27" s="13" t="s">
        <v>24</v>
      </c>
    </row>
    <row r="28" spans="1:147" outlineLevel="1" x14ac:dyDescent="0.3">
      <c r="A28" s="87"/>
      <c r="B28" s="87"/>
      <c r="C28" s="87"/>
      <c r="D28" s="88"/>
      <c r="E28" s="88"/>
      <c r="F28" s="162"/>
      <c r="G28" s="9" t="str">
        <f t="shared" ref="G28:G34" si="11">IF(ISBLANK(A28),"",NETWORKDAYS(D28,E28)*F28)</f>
        <v/>
      </c>
      <c r="H28" s="120" t="str">
        <f t="shared" ref="H28:H34" si="12">IF(ISBLANK(A28),"",G28*$B$9)</f>
        <v/>
      </c>
      <c r="I28" s="90"/>
      <c r="J28" s="36" t="str">
        <f t="shared" ref="J28:J34" si="13">IF(ISBLANK(A28),"",H28*I28)</f>
        <v/>
      </c>
      <c r="K28" s="211"/>
      <c r="L28" s="219" t="str">
        <f t="shared" ref="L28:L34" si="14">IF(ISBLANK(A28)," ",(K28*G28*$B$9))</f>
        <v xml:space="preserve"> </v>
      </c>
      <c r="M28" s="36" t="str">
        <f>IF(ISBLANK(A28),"",(I28*G28*8)-L28)</f>
        <v/>
      </c>
      <c r="N28" s="90"/>
      <c r="O28" s="209" t="str">
        <f t="shared" ref="O28:O34" si="15">IF(ISBLANK(A28),"",G28*N28*$B$9)</f>
        <v/>
      </c>
      <c r="P28" s="36" t="str">
        <f t="shared" ref="P28:P34" si="16">IF(ISBLANK(A28),"",O28-L28)</f>
        <v/>
      </c>
      <c r="Q28" s="15" t="str">
        <f t="shared" ref="Q28:Q34" si="17">IF(ISBLANK(A28),"",P28/O28)</f>
        <v/>
      </c>
      <c r="R28" s="8" t="str">
        <f t="shared" ref="R28:R34" si="18">IF(ISBLANK(A28),"",1-O28/J28)</f>
        <v/>
      </c>
      <c r="T28" s="41" t="str">
        <f t="shared" ref="T28:T34" si="19">IF(ISBLANK(A28),"",CONCATENATE(C28,"-",$B$5))</f>
        <v/>
      </c>
      <c r="X28" s="43"/>
    </row>
    <row r="29" spans="1:147" outlineLevel="1" x14ac:dyDescent="0.3">
      <c r="A29" s="87"/>
      <c r="B29" s="87"/>
      <c r="C29" s="87"/>
      <c r="D29" s="88"/>
      <c r="E29" s="88"/>
      <c r="F29" s="162"/>
      <c r="G29" s="9" t="str">
        <f t="shared" si="11"/>
        <v/>
      </c>
      <c r="H29" s="120" t="str">
        <f t="shared" si="12"/>
        <v/>
      </c>
      <c r="I29" s="90"/>
      <c r="J29" s="36" t="str">
        <f t="shared" si="13"/>
        <v/>
      </c>
      <c r="K29" s="211"/>
      <c r="L29" s="219" t="str">
        <f t="shared" si="14"/>
        <v xml:space="preserve"> </v>
      </c>
      <c r="M29" s="36" t="str">
        <f t="shared" ref="M29:M34" si="20">IF(ISBLANK(A29),"",J29-L29)</f>
        <v/>
      </c>
      <c r="N29" s="90"/>
      <c r="O29" s="209" t="str">
        <f t="shared" si="15"/>
        <v/>
      </c>
      <c r="P29" s="36" t="str">
        <f t="shared" si="16"/>
        <v/>
      </c>
      <c r="Q29" s="15" t="str">
        <f t="shared" si="17"/>
        <v/>
      </c>
      <c r="R29" s="8" t="str">
        <f t="shared" si="18"/>
        <v/>
      </c>
      <c r="T29" s="41" t="str">
        <f t="shared" si="19"/>
        <v/>
      </c>
    </row>
    <row r="30" spans="1:147" outlineLevel="1" x14ac:dyDescent="0.3">
      <c r="A30" s="87"/>
      <c r="B30" s="87"/>
      <c r="C30" s="87"/>
      <c r="D30" s="88"/>
      <c r="E30" s="88"/>
      <c r="F30" s="162"/>
      <c r="G30" s="9" t="str">
        <f t="shared" si="11"/>
        <v/>
      </c>
      <c r="H30" s="120" t="str">
        <f t="shared" si="12"/>
        <v/>
      </c>
      <c r="I30" s="90"/>
      <c r="J30" s="36" t="str">
        <f t="shared" si="13"/>
        <v/>
      </c>
      <c r="K30" s="211"/>
      <c r="L30" s="219" t="str">
        <f t="shared" si="14"/>
        <v xml:space="preserve"> </v>
      </c>
      <c r="M30" s="36" t="str">
        <f t="shared" si="20"/>
        <v/>
      </c>
      <c r="N30" s="90"/>
      <c r="O30" s="209" t="str">
        <f t="shared" si="15"/>
        <v/>
      </c>
      <c r="P30" s="36" t="str">
        <f t="shared" si="16"/>
        <v/>
      </c>
      <c r="Q30" s="15" t="str">
        <f t="shared" si="17"/>
        <v/>
      </c>
      <c r="R30" s="8" t="str">
        <f t="shared" si="18"/>
        <v/>
      </c>
      <c r="T30" s="41" t="str">
        <f t="shared" si="19"/>
        <v/>
      </c>
    </row>
    <row r="31" spans="1:147" outlineLevel="1" x14ac:dyDescent="0.3">
      <c r="A31" s="87"/>
      <c r="B31" s="87"/>
      <c r="C31" s="87"/>
      <c r="D31" s="88"/>
      <c r="E31" s="88"/>
      <c r="F31" s="162"/>
      <c r="G31" s="9" t="str">
        <f t="shared" si="11"/>
        <v/>
      </c>
      <c r="H31" s="120" t="str">
        <f t="shared" si="12"/>
        <v/>
      </c>
      <c r="I31" s="90"/>
      <c r="J31" s="36" t="str">
        <f t="shared" si="13"/>
        <v/>
      </c>
      <c r="K31" s="211"/>
      <c r="L31" s="219" t="str">
        <f t="shared" si="14"/>
        <v xml:space="preserve"> </v>
      </c>
      <c r="M31" s="36" t="str">
        <f t="shared" si="20"/>
        <v/>
      </c>
      <c r="N31" s="90"/>
      <c r="O31" s="209" t="str">
        <f t="shared" si="15"/>
        <v/>
      </c>
      <c r="P31" s="36" t="str">
        <f t="shared" si="16"/>
        <v/>
      </c>
      <c r="Q31" s="15" t="str">
        <f t="shared" si="17"/>
        <v/>
      </c>
      <c r="R31" s="8" t="str">
        <f t="shared" si="18"/>
        <v/>
      </c>
      <c r="T31" s="41" t="str">
        <f t="shared" si="19"/>
        <v/>
      </c>
    </row>
    <row r="32" spans="1:147" outlineLevel="1" x14ac:dyDescent="0.3">
      <c r="A32" s="87"/>
      <c r="B32" s="87"/>
      <c r="C32" s="87"/>
      <c r="D32" s="88"/>
      <c r="E32" s="88"/>
      <c r="F32" s="162"/>
      <c r="G32" s="9" t="str">
        <f t="shared" si="11"/>
        <v/>
      </c>
      <c r="H32" s="120" t="str">
        <f t="shared" si="12"/>
        <v/>
      </c>
      <c r="I32" s="90"/>
      <c r="J32" s="36" t="str">
        <f t="shared" si="13"/>
        <v/>
      </c>
      <c r="K32" s="211"/>
      <c r="L32" s="219" t="str">
        <f t="shared" si="14"/>
        <v xml:space="preserve"> </v>
      </c>
      <c r="M32" s="36" t="str">
        <f t="shared" si="20"/>
        <v/>
      </c>
      <c r="N32" s="90"/>
      <c r="O32" s="209" t="str">
        <f t="shared" si="15"/>
        <v/>
      </c>
      <c r="P32" s="36" t="str">
        <f t="shared" si="16"/>
        <v/>
      </c>
      <c r="Q32" s="15" t="str">
        <f t="shared" si="17"/>
        <v/>
      </c>
      <c r="R32" s="8" t="str">
        <f t="shared" si="18"/>
        <v/>
      </c>
      <c r="T32" s="41" t="str">
        <f t="shared" si="19"/>
        <v/>
      </c>
    </row>
    <row r="33" spans="1:147" outlineLevel="1" x14ac:dyDescent="0.3">
      <c r="A33" s="87"/>
      <c r="B33" s="87"/>
      <c r="C33" s="87"/>
      <c r="D33" s="88"/>
      <c r="E33" s="88"/>
      <c r="F33" s="162"/>
      <c r="G33" s="9" t="str">
        <f t="shared" si="11"/>
        <v/>
      </c>
      <c r="H33" s="120" t="str">
        <f t="shared" si="12"/>
        <v/>
      </c>
      <c r="I33" s="90"/>
      <c r="J33" s="36" t="str">
        <f t="shared" si="13"/>
        <v/>
      </c>
      <c r="K33" s="211"/>
      <c r="L33" s="219" t="str">
        <f t="shared" si="14"/>
        <v xml:space="preserve"> </v>
      </c>
      <c r="M33" s="36" t="str">
        <f t="shared" si="20"/>
        <v/>
      </c>
      <c r="N33" s="90"/>
      <c r="O33" s="209" t="str">
        <f t="shared" si="15"/>
        <v/>
      </c>
      <c r="P33" s="36" t="str">
        <f t="shared" si="16"/>
        <v/>
      </c>
      <c r="Q33" s="15" t="str">
        <f t="shared" si="17"/>
        <v/>
      </c>
      <c r="R33" s="8" t="str">
        <f t="shared" si="18"/>
        <v/>
      </c>
      <c r="T33" s="41" t="str">
        <f t="shared" si="19"/>
        <v/>
      </c>
    </row>
    <row r="34" spans="1:147" s="11" customFormat="1" ht="14.4" outlineLevel="1" thickBot="1" x14ac:dyDescent="0.35">
      <c r="A34" s="167"/>
      <c r="B34" s="167"/>
      <c r="C34" s="167"/>
      <c r="D34" s="168"/>
      <c r="E34" s="168"/>
      <c r="F34" s="169"/>
      <c r="G34" s="170" t="str">
        <f t="shared" si="11"/>
        <v/>
      </c>
      <c r="H34" s="171" t="str">
        <f t="shared" si="12"/>
        <v/>
      </c>
      <c r="I34" s="175"/>
      <c r="J34" s="82" t="str">
        <f t="shared" si="13"/>
        <v/>
      </c>
      <c r="K34" s="212"/>
      <c r="L34" s="220" t="str">
        <f t="shared" si="14"/>
        <v xml:space="preserve"> </v>
      </c>
      <c r="M34" s="82" t="str">
        <f t="shared" si="20"/>
        <v/>
      </c>
      <c r="N34" s="175"/>
      <c r="O34" s="208" t="str">
        <f t="shared" si="15"/>
        <v/>
      </c>
      <c r="P34" s="82" t="str">
        <f t="shared" si="16"/>
        <v/>
      </c>
      <c r="Q34" s="158" t="str">
        <f t="shared" si="17"/>
        <v/>
      </c>
      <c r="R34" s="173" t="str">
        <f t="shared" si="18"/>
        <v/>
      </c>
      <c r="S34" s="375"/>
      <c r="T34" s="41" t="str">
        <f t="shared" si="19"/>
        <v/>
      </c>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J34" s="41"/>
      <c r="BK34" s="41"/>
      <c r="BL34" s="41"/>
      <c r="BM34" s="41"/>
      <c r="BN34" s="41"/>
      <c r="BO34" s="41"/>
      <c r="BP34" s="41"/>
      <c r="BQ34" s="41"/>
      <c r="BR34" s="41"/>
      <c r="BS34" s="41"/>
      <c r="BT34" s="41"/>
      <c r="BU34" s="41"/>
      <c r="BV34" s="41"/>
      <c r="BW34" s="41"/>
      <c r="BX34" s="41"/>
      <c r="BY34" s="41"/>
      <c r="BZ34" s="41"/>
      <c r="CA34" s="41"/>
      <c r="CB34" s="41"/>
      <c r="CC34" s="41"/>
      <c r="CD34" s="41"/>
      <c r="CE34" s="41"/>
      <c r="CF34" s="41"/>
      <c r="CG34" s="41"/>
      <c r="CH34" s="41"/>
      <c r="CI34" s="41"/>
      <c r="CJ34" s="41"/>
      <c r="CK34" s="41"/>
      <c r="CL34" s="41"/>
      <c r="CM34" s="41"/>
      <c r="CN34" s="41"/>
      <c r="CO34" s="41"/>
      <c r="CP34" s="41"/>
      <c r="CQ34" s="41"/>
      <c r="CR34" s="41"/>
      <c r="CS34" s="41"/>
      <c r="CT34" s="41"/>
      <c r="CU34" s="41"/>
      <c r="CV34" s="41"/>
      <c r="CW34" s="41"/>
      <c r="CX34" s="41"/>
      <c r="CY34" s="41"/>
      <c r="CZ34" s="41"/>
      <c r="DA34" s="41"/>
      <c r="DB34" s="41"/>
      <c r="DC34" s="41"/>
      <c r="DD34" s="41"/>
      <c r="DE34" s="41"/>
      <c r="DF34" s="41"/>
      <c r="DG34" s="41"/>
      <c r="DH34" s="41"/>
      <c r="DI34" s="41"/>
      <c r="DJ34" s="41"/>
      <c r="DK34" s="41"/>
      <c r="DL34" s="41"/>
      <c r="DM34" s="41"/>
      <c r="DN34" s="41"/>
      <c r="DO34" s="41"/>
      <c r="DP34" s="41"/>
      <c r="DQ34" s="41"/>
      <c r="DR34" s="41"/>
      <c r="DS34" s="41"/>
      <c r="DT34" s="41"/>
      <c r="DU34" s="41"/>
      <c r="DV34" s="41"/>
      <c r="DW34" s="41"/>
      <c r="DX34" s="41"/>
      <c r="DY34" s="41"/>
      <c r="DZ34" s="41"/>
      <c r="EA34" s="41"/>
      <c r="EB34" s="41"/>
      <c r="EC34" s="41"/>
      <c r="ED34" s="41"/>
      <c r="EE34" s="41"/>
      <c r="EF34" s="41"/>
      <c r="EG34" s="41"/>
      <c r="EH34" s="41"/>
      <c r="EI34" s="41"/>
      <c r="EJ34" s="41"/>
      <c r="EK34" s="41"/>
      <c r="EL34" s="41"/>
      <c r="EM34" s="41"/>
      <c r="EN34" s="41"/>
      <c r="EO34" s="41"/>
      <c r="EP34" s="41"/>
      <c r="EQ34" s="41"/>
    </row>
    <row r="35" spans="1:147" x14ac:dyDescent="0.3">
      <c r="A35" s="3" t="s">
        <v>13</v>
      </c>
      <c r="G35" s="9">
        <f>SUM(G28:G34)</f>
        <v>0</v>
      </c>
      <c r="H35" s="9">
        <f>SUM(H28:H34)</f>
        <v>0</v>
      </c>
      <c r="I35" s="31"/>
      <c r="J35" s="36">
        <f>SUM(J28:J34)</f>
        <v>0</v>
      </c>
      <c r="K35" s="209"/>
      <c r="L35" s="209">
        <f>SUM(L28:L34)</f>
        <v>0</v>
      </c>
      <c r="M35" s="36">
        <f>SUM(M28:M34)</f>
        <v>0</v>
      </c>
      <c r="N35" s="33"/>
      <c r="O35" s="209">
        <f>SUM(O28:O34)</f>
        <v>0</v>
      </c>
      <c r="P35" s="36">
        <f>SUM(P28:P34)</f>
        <v>0</v>
      </c>
      <c r="Q35" s="15">
        <f>IF(ISBLANK(A35),"",IF(O35&gt;0,P35/O35,0))</f>
        <v>0</v>
      </c>
      <c r="R35" s="8">
        <f>IF(ISBLANK(A35),"",IF(J35&gt;0,1-O35/J35,1))</f>
        <v>1</v>
      </c>
    </row>
    <row r="36" spans="1:147" x14ac:dyDescent="0.3">
      <c r="I36" s="31"/>
      <c r="J36" s="36"/>
      <c r="K36" s="209"/>
      <c r="L36" s="209"/>
      <c r="M36" s="36"/>
      <c r="O36" s="209"/>
      <c r="P36" s="36"/>
    </row>
    <row r="37" spans="1:147" x14ac:dyDescent="0.3">
      <c r="A37" s="3" t="s">
        <v>14</v>
      </c>
      <c r="G37" s="17">
        <f>IF($B$4="Fixed Price",RISK!$L$4*(G24+G35),RISK!$N$4*(G24+G35))</f>
        <v>0</v>
      </c>
      <c r="H37" s="120">
        <f>IF(ISBLANK(B6),0,G37*B9)</f>
        <v>0</v>
      </c>
      <c r="I37" s="33"/>
      <c r="J37" s="51">
        <f>IF($B$4="Fixed Price",RISK!$L$4*(J24+J35),RISK!$N$4*(J24+J35))</f>
        <v>0</v>
      </c>
      <c r="K37" s="209"/>
      <c r="L37" s="51">
        <f>IF($B$4="Fixed Price",RISK!$L$4*(L24+L35),RISK!$N$4*(L24+L35))</f>
        <v>0</v>
      </c>
      <c r="M37" s="51">
        <f>IF($B$4="Fixed Price",RISK!$L$4*(M24+M35),RISK!$N$4*(M24+M35))</f>
        <v>0</v>
      </c>
      <c r="O37" s="51">
        <f>IF($B$4="Fixed Price",RISK!$L$4*(O24+O35),RISK!$N$4*(O24+O35))</f>
        <v>0</v>
      </c>
      <c r="P37" s="51">
        <f>IF($B$4="Fixed Price",RISK!$L$4*(P24+P35),RISK!$N$4*(P24+P35))</f>
        <v>0</v>
      </c>
      <c r="Q37" s="15" t="str">
        <f>IF(G37=0,"",P37/O37)</f>
        <v/>
      </c>
      <c r="R37" s="8" t="str">
        <f>IF(G37=0,"",1-O37/J37)</f>
        <v/>
      </c>
    </row>
    <row r="38" spans="1:147" x14ac:dyDescent="0.3">
      <c r="A38" s="3" t="s">
        <v>173</v>
      </c>
      <c r="G38" s="17">
        <f>IF($B$4="Fixed Price",RISK!$M$4*(G24+G35)+RISK!$O$4*(G24+G35),0)</f>
        <v>0</v>
      </c>
      <c r="H38" s="120">
        <f>IF(ISBLANK(B6),0,G38*B9)</f>
        <v>0</v>
      </c>
      <c r="I38" s="33"/>
      <c r="J38" s="17">
        <f>IF($B$4="Fixed Price",RISK!$M$4*(J24+J35)+RISK!$O$4*(J24+J35),0)</f>
        <v>0</v>
      </c>
      <c r="K38" s="209"/>
      <c r="L38" s="17">
        <f>IF($B$4="Fixed Price",RISK!$M$4*(L24+L35)+RISK!$O$4*(L24+L35),0)</f>
        <v>0</v>
      </c>
      <c r="M38" s="17">
        <f>IF($B$4="Fixed Price",RISK!$M$4*(M24+M35)+RISK!$O$4*(M24+M35),0)</f>
        <v>0</v>
      </c>
      <c r="O38" s="17">
        <f>IF($B$4="Fixed Price",RISK!$M$4*(O24+O35)+RISK!$O$4*(O24+O35),0)</f>
        <v>0</v>
      </c>
      <c r="P38" s="17">
        <f>IF($B$4="Fixed Price",RISK!$M$4*(P24+P35)+RISK!$O$4*(P24+P35),0)</f>
        <v>0</v>
      </c>
      <c r="Q38" s="15" t="str">
        <f>IF(G38=0,"",P38/O38)</f>
        <v/>
      </c>
      <c r="R38" s="8" t="str">
        <f>IF(G38=0,"",1-O38/J38)</f>
        <v/>
      </c>
    </row>
    <row r="39" spans="1:147" x14ac:dyDescent="0.3">
      <c r="A39" s="3" t="s">
        <v>172</v>
      </c>
      <c r="G39" s="17">
        <f>IF($B$4="T&amp;M",RISK!$O$4*(G24+G35),0)</f>
        <v>0</v>
      </c>
      <c r="H39" s="120">
        <f>IF(ISBLANK(B6),0,G39*B9)</f>
        <v>0</v>
      </c>
      <c r="I39" s="33"/>
      <c r="J39" s="17">
        <f>IF($B$4="T&amp;M",RISK!$O$4*(J24+J35),0)</f>
        <v>0</v>
      </c>
      <c r="K39" s="209"/>
      <c r="L39" s="17">
        <f>IF($B$4="T&amp;M",RISK!$O$4*(L24+L35),0)</f>
        <v>0</v>
      </c>
      <c r="M39" s="17">
        <f>IF($B$4="T&amp;M",RISK!$O$4*(M24+M35),0)</f>
        <v>0</v>
      </c>
      <c r="O39" s="17">
        <f>IF($B$4="T&amp;M",RISK!$O$4*(O24+O35),0)</f>
        <v>0</v>
      </c>
      <c r="P39" s="17">
        <f>IF($B$4="T&amp;M",RISK!$O$4*(P24+P35),0)</f>
        <v>0</v>
      </c>
      <c r="Q39" s="15" t="str">
        <f>IF(G39=0,"",P39/O39)</f>
        <v/>
      </c>
      <c r="R39" s="8" t="str">
        <f>IF(G39=0,"",1-O39/J39)</f>
        <v/>
      </c>
    </row>
    <row r="40" spans="1:147" x14ac:dyDescent="0.3">
      <c r="A40" s="3" t="s">
        <v>147</v>
      </c>
      <c r="G40" s="17">
        <f>G24+G35+G37+G38+G39</f>
        <v>0</v>
      </c>
      <c r="H40" s="17">
        <f>H24+H35+H37+H38+H39</f>
        <v>0</v>
      </c>
      <c r="I40" s="33"/>
      <c r="J40" s="17">
        <f>J24+J35+J37+J38+J39</f>
        <v>0</v>
      </c>
      <c r="K40" s="209"/>
      <c r="L40" s="17">
        <f>L24+L35+L37+L38+L39</f>
        <v>0</v>
      </c>
      <c r="M40" s="17">
        <f>M24+M35+M37+M39+M50+M38</f>
        <v>0</v>
      </c>
      <c r="O40" s="17">
        <f>O24+O35+O37+O38+O39</f>
        <v>0</v>
      </c>
      <c r="P40" s="17">
        <f>P24+P35+P37+P39+P50+P38</f>
        <v>0</v>
      </c>
      <c r="Q40" s="15">
        <f>IF(ISBLANK(A40),"",IF(O40&gt;0,P40/O40,0))</f>
        <v>0</v>
      </c>
      <c r="R40" s="8"/>
    </row>
    <row r="41" spans="1:147" x14ac:dyDescent="0.3">
      <c r="A41" s="3"/>
      <c r="G41" s="17"/>
      <c r="H41" s="120"/>
      <c r="I41" s="33"/>
      <c r="J41" s="51"/>
      <c r="K41" s="209"/>
      <c r="L41" s="51"/>
      <c r="M41" s="51"/>
      <c r="O41" s="51"/>
      <c r="P41" s="51"/>
      <c r="Q41" s="15"/>
      <c r="R41" s="8"/>
    </row>
    <row r="42" spans="1:147" hidden="1" outlineLevel="1" x14ac:dyDescent="0.3">
      <c r="A42" s="12" t="s">
        <v>145</v>
      </c>
      <c r="B42" s="12"/>
      <c r="C42" s="12"/>
      <c r="D42" s="13" t="s">
        <v>56</v>
      </c>
      <c r="E42" s="13" t="s">
        <v>57</v>
      </c>
      <c r="F42" s="13" t="s">
        <v>149</v>
      </c>
      <c r="G42" s="13" t="s">
        <v>20</v>
      </c>
      <c r="H42" s="119" t="s">
        <v>83</v>
      </c>
      <c r="I42" s="40" t="s">
        <v>10</v>
      </c>
      <c r="J42" s="13" t="s">
        <v>58</v>
      </c>
      <c r="K42" s="206"/>
      <c r="L42" s="218" t="s">
        <v>31</v>
      </c>
      <c r="M42" s="39" t="s">
        <v>21</v>
      </c>
      <c r="N42" s="35" t="s">
        <v>22</v>
      </c>
      <c r="O42" s="218" t="s">
        <v>60</v>
      </c>
      <c r="P42" s="13" t="s">
        <v>32</v>
      </c>
      <c r="Q42" s="13"/>
      <c r="R42" s="13"/>
    </row>
    <row r="43" spans="1:147" hidden="1" outlineLevel="1" x14ac:dyDescent="0.3">
      <c r="A43" s="160"/>
      <c r="B43" s="160"/>
      <c r="C43" s="160"/>
      <c r="D43" s="161"/>
      <c r="E43" s="161"/>
      <c r="F43" s="162"/>
      <c r="G43" s="163" t="str">
        <f>IF(ISBLANK(A43),"",NETWORKDAYS(D43,E43)*F43)</f>
        <v/>
      </c>
      <c r="H43" s="164" t="str">
        <f>IF(ISBLANK(A43),"",G43*$B$9)</f>
        <v/>
      </c>
      <c r="I43" s="165">
        <v>0</v>
      </c>
      <c r="J43" s="80" t="str">
        <f>IF(ISBLANK(A43),"",H43*I43)</f>
        <v/>
      </c>
      <c r="K43" s="213">
        <v>0</v>
      </c>
      <c r="L43" s="221" t="str">
        <f>IF(ISBLANK(A43)," ",(K43*G43*$B$9))</f>
        <v xml:space="preserve"> </v>
      </c>
      <c r="M43" s="80" t="str">
        <f>IF(ISBLANK(A43),"",(I43*G43*8)-L43)</f>
        <v/>
      </c>
      <c r="N43" s="165">
        <v>0</v>
      </c>
      <c r="O43" s="207" t="str">
        <f>IF(ISBLANK(A43),"",G43*N43*$B$9)</f>
        <v/>
      </c>
      <c r="P43" s="80" t="str">
        <f>IF(ISBLANK(A43),"",O43-L43)</f>
        <v/>
      </c>
      <c r="Q43" s="155"/>
      <c r="R43" s="166"/>
      <c r="S43" s="376"/>
      <c r="T43" s="41" t="str">
        <f>IF(ISBLANK(A43),"",CONCATENATE(C43,"-",$B$5))</f>
        <v/>
      </c>
      <c r="X43" s="43"/>
    </row>
    <row r="44" spans="1:147" hidden="1" outlineLevel="1" x14ac:dyDescent="0.3">
      <c r="A44" s="160"/>
      <c r="B44" s="160"/>
      <c r="C44" s="160"/>
      <c r="D44" s="161"/>
      <c r="E44" s="161"/>
      <c r="F44" s="162"/>
      <c r="G44" s="163" t="str">
        <f>IF(ISBLANK(A44),"",NETWORKDAYS(D44,E44)*F44)</f>
        <v/>
      </c>
      <c r="H44" s="164" t="str">
        <f>IF(ISBLANK(A44),"",G44*$B$9)</f>
        <v/>
      </c>
      <c r="I44" s="165">
        <v>0</v>
      </c>
      <c r="J44" s="80" t="str">
        <f>IF(ISBLANK(A44),"",H44*I44)</f>
        <v/>
      </c>
      <c r="K44" s="213">
        <v>0</v>
      </c>
      <c r="L44" s="221" t="str">
        <f>IF(ISBLANK(A44)," ",(K44*G44*$B$9))</f>
        <v xml:space="preserve"> </v>
      </c>
      <c r="M44" s="80" t="str">
        <f>IF(ISBLANK(A44),"",J44-L44)</f>
        <v/>
      </c>
      <c r="N44" s="165">
        <v>0</v>
      </c>
      <c r="O44" s="207" t="str">
        <f>IF(ISBLANK(A44),"",G44*N44*$B$9)</f>
        <v/>
      </c>
      <c r="P44" s="80" t="str">
        <f>IF(ISBLANK(A44),"",O44-L44)</f>
        <v/>
      </c>
      <c r="Q44" s="155"/>
      <c r="R44" s="166"/>
      <c r="S44" s="376"/>
      <c r="T44" s="41" t="str">
        <f>IF(ISBLANK(A44),"",CONCATENATE(C44,"-",$B$5))</f>
        <v/>
      </c>
    </row>
    <row r="45" spans="1:147" hidden="1" outlineLevel="1" x14ac:dyDescent="0.3">
      <c r="A45" s="160"/>
      <c r="B45" s="160"/>
      <c r="C45" s="160"/>
      <c r="D45" s="161"/>
      <c r="E45" s="161"/>
      <c r="F45" s="162"/>
      <c r="G45" s="163" t="str">
        <f>IF(ISBLANK(A45),"",NETWORKDAYS(D45,E45)*F45)</f>
        <v/>
      </c>
      <c r="H45" s="164" t="str">
        <f>IF(ISBLANK(A45),"",G45*$B$9)</f>
        <v/>
      </c>
      <c r="I45" s="165">
        <v>0</v>
      </c>
      <c r="J45" s="80" t="str">
        <f>IF(ISBLANK(A45),"",H45*I45)</f>
        <v/>
      </c>
      <c r="K45" s="213">
        <v>0</v>
      </c>
      <c r="L45" s="221" t="str">
        <f>IF(ISBLANK(A45)," ",(K45*G45*$B$9))</f>
        <v xml:space="preserve"> </v>
      </c>
      <c r="M45" s="80" t="str">
        <f>IF(ISBLANK(A45),"",J45-L45)</f>
        <v/>
      </c>
      <c r="N45" s="165">
        <v>0</v>
      </c>
      <c r="O45" s="207" t="str">
        <f>IF(ISBLANK(A45),"",G45*N45*$B$9)</f>
        <v/>
      </c>
      <c r="P45" s="80" t="str">
        <f>IF(ISBLANK(A45),"",O45-L45)</f>
        <v/>
      </c>
      <c r="Q45" s="155" t="str">
        <f>IF(ISBLANK(A45),"",P45/O45)</f>
        <v/>
      </c>
      <c r="R45" s="166" t="str">
        <f>IF(ISBLANK(A45),"",1-O45/J45)</f>
        <v/>
      </c>
      <c r="S45" s="376"/>
      <c r="T45" s="41" t="str">
        <f>IF(ISBLANK(A45),"",CONCATENATE(C45,"-",$B$5))</f>
        <v/>
      </c>
    </row>
    <row r="46" spans="1:147" hidden="1" outlineLevel="1" x14ac:dyDescent="0.3">
      <c r="A46" s="160"/>
      <c r="B46" s="160"/>
      <c r="C46" s="160"/>
      <c r="D46" s="161"/>
      <c r="E46" s="161"/>
      <c r="F46" s="162"/>
      <c r="G46" s="163" t="str">
        <f>IF(ISBLANK(A46),"",NETWORKDAYS(D46,E46)*F46)</f>
        <v/>
      </c>
      <c r="H46" s="164" t="str">
        <f>IF(ISBLANK(A46),"",G46*$B$9)</f>
        <v/>
      </c>
      <c r="I46" s="165">
        <v>0</v>
      </c>
      <c r="J46" s="80" t="str">
        <f>IF(ISBLANK(A46),"",H46*I46)</f>
        <v/>
      </c>
      <c r="K46" s="213">
        <v>0</v>
      </c>
      <c r="L46" s="221" t="str">
        <f>IF(ISBLANK(A46)," ",(K46*G46*$B$9))</f>
        <v xml:space="preserve"> </v>
      </c>
      <c r="M46" s="80" t="str">
        <f>IF(ISBLANK(A46),"",J46-L46)</f>
        <v/>
      </c>
      <c r="N46" s="165">
        <v>0</v>
      </c>
      <c r="O46" s="207" t="str">
        <f>IF(ISBLANK(A46),"",G46*N46*$B$9)</f>
        <v/>
      </c>
      <c r="P46" s="80" t="str">
        <f>IF(ISBLANK(A46),"",O46-L46)</f>
        <v/>
      </c>
      <c r="Q46" s="155" t="str">
        <f>IF(ISBLANK(A46),"",P46/O46)</f>
        <v/>
      </c>
      <c r="R46" s="166" t="str">
        <f>IF(ISBLANK(A46),"",1-O46/J46)</f>
        <v/>
      </c>
      <c r="S46" s="376"/>
      <c r="T46" s="41" t="str">
        <f>IF(ISBLANK(A46),"",CONCATENATE(C46,"-",$B$5))</f>
        <v/>
      </c>
    </row>
    <row r="47" spans="1:147" ht="14.4" hidden="1" outlineLevel="1" thickBot="1" x14ac:dyDescent="0.35">
      <c r="A47" s="167"/>
      <c r="B47" s="167"/>
      <c r="C47" s="167"/>
      <c r="D47" s="168"/>
      <c r="E47" s="168"/>
      <c r="F47" s="169"/>
      <c r="G47" s="170" t="str">
        <f>IF(ISBLANK(A47),"",NETWORKDAYS(D47,E47)*F47)</f>
        <v/>
      </c>
      <c r="H47" s="171" t="str">
        <f>IF(ISBLANK(A47),"",G47*$B$9)</f>
        <v/>
      </c>
      <c r="I47" s="172">
        <v>0</v>
      </c>
      <c r="J47" s="82" t="str">
        <f>IF(ISBLANK(A47),"",H47*I47)</f>
        <v/>
      </c>
      <c r="K47" s="214">
        <v>0</v>
      </c>
      <c r="L47" s="220" t="str">
        <f>IF(ISBLANK(A47)," ",(K47*G47*$B$9))</f>
        <v xml:space="preserve"> </v>
      </c>
      <c r="M47" s="82" t="str">
        <f>IF(ISBLANK(A47),"",J47-L47)</f>
        <v/>
      </c>
      <c r="N47" s="172">
        <v>0</v>
      </c>
      <c r="O47" s="208" t="str">
        <f>IF(ISBLANK(A47),"",G47*N47*$B$9)</f>
        <v/>
      </c>
      <c r="P47" s="82" t="str">
        <f>IF(ISBLANK(A47),"",O47-L47)</f>
        <v/>
      </c>
      <c r="Q47" s="158" t="str">
        <f>IF(ISBLANK(A47),"",P47/O47)</f>
        <v/>
      </c>
      <c r="R47" s="173" t="str">
        <f>IF(ISBLANK(A47),"",1-O47/J47)</f>
        <v/>
      </c>
      <c r="S47" s="375"/>
      <c r="T47" s="41" t="str">
        <f>IF(ISBLANK(A47),"",CONCATENATE(C47,"-",$B$5))</f>
        <v/>
      </c>
    </row>
    <row r="48" spans="1:147" hidden="1" x14ac:dyDescent="0.3">
      <c r="A48" s="3" t="s">
        <v>146</v>
      </c>
      <c r="G48" s="17">
        <f>SUM(G43:G47)</f>
        <v>0</v>
      </c>
      <c r="H48" s="17">
        <f>SUM(H43:H47)</f>
        <v>0</v>
      </c>
      <c r="I48" s="33"/>
      <c r="J48" s="51"/>
      <c r="K48" s="209"/>
      <c r="L48" s="51"/>
      <c r="M48" s="51"/>
      <c r="O48" s="51"/>
      <c r="P48" s="51"/>
      <c r="Q48" s="15"/>
      <c r="R48" s="8"/>
    </row>
    <row r="49" spans="1:147" hidden="1" x14ac:dyDescent="0.3">
      <c r="A49" s="3"/>
      <c r="G49" s="17"/>
      <c r="H49" s="120"/>
      <c r="I49" s="33"/>
      <c r="J49" s="123"/>
      <c r="K49" s="209"/>
      <c r="L49" s="51"/>
      <c r="M49" s="51"/>
      <c r="O49" s="123"/>
      <c r="P49" s="51"/>
      <c r="Q49" s="15" t="str">
        <f>IF(G49=0,"",P49/O49)</f>
        <v/>
      </c>
      <c r="R49" s="8" t="str">
        <f>IF(G49=0,"",1-O49/J49)</f>
        <v/>
      </c>
    </row>
    <row r="50" spans="1:147" s="11" customFormat="1" x14ac:dyDescent="0.3">
      <c r="A50" s="12" t="s">
        <v>16</v>
      </c>
      <c r="H50" s="121"/>
      <c r="I50" s="32"/>
      <c r="J50" s="37"/>
      <c r="K50" s="215"/>
      <c r="L50" s="215">
        <f>'Non-Reimbursable Expenses'!B13</f>
        <v>0</v>
      </c>
      <c r="M50" s="37"/>
      <c r="N50" s="32"/>
      <c r="O50" s="215">
        <f>IF($B$4="Fixed Price",L50,0)</f>
        <v>0</v>
      </c>
      <c r="P50" s="37"/>
      <c r="Q50" s="18"/>
      <c r="S50" s="377"/>
      <c r="T50" s="41"/>
      <c r="U50" s="41"/>
      <c r="V50" s="41"/>
      <c r="W50" s="41"/>
      <c r="X50" s="41"/>
      <c r="Y50" s="41"/>
      <c r="Z50" s="41"/>
      <c r="AA50" s="41"/>
      <c r="AB50" s="41"/>
      <c r="AC50" s="41"/>
      <c r="AD50" s="41"/>
      <c r="AE50" s="41"/>
      <c r="AF50" s="41"/>
      <c r="AG50" s="41"/>
      <c r="AH50" s="41"/>
      <c r="AI50" s="41"/>
      <c r="AJ50" s="41"/>
      <c r="AK50" s="41"/>
      <c r="AL50" s="41"/>
      <c r="AM50" s="41"/>
      <c r="AN50" s="41"/>
      <c r="AO50" s="41"/>
      <c r="AP50" s="41"/>
      <c r="AQ50" s="41"/>
      <c r="AR50" s="41"/>
      <c r="AS50" s="41"/>
      <c r="AT50" s="41"/>
      <c r="AU50" s="41"/>
      <c r="AV50" s="41"/>
      <c r="AW50" s="41"/>
      <c r="AX50" s="41"/>
      <c r="AY50" s="41"/>
      <c r="AZ50" s="41"/>
      <c r="BA50" s="41"/>
      <c r="BB50" s="41"/>
      <c r="BC50" s="41"/>
      <c r="BD50" s="41"/>
      <c r="BE50" s="41"/>
      <c r="BF50" s="41"/>
      <c r="BG50" s="41"/>
      <c r="BH50" s="41"/>
      <c r="BI50" s="41"/>
      <c r="BJ50" s="41"/>
      <c r="BK50" s="41"/>
      <c r="BL50" s="41"/>
      <c r="BM50" s="41"/>
      <c r="BN50" s="41"/>
      <c r="BO50" s="41"/>
      <c r="BP50" s="41"/>
      <c r="BQ50" s="41"/>
      <c r="BR50" s="41"/>
      <c r="BS50" s="41"/>
      <c r="BT50" s="41"/>
      <c r="BU50" s="41"/>
      <c r="BV50" s="41"/>
      <c r="BW50" s="41"/>
      <c r="BX50" s="41"/>
      <c r="BY50" s="41"/>
      <c r="BZ50" s="41"/>
      <c r="CA50" s="41"/>
      <c r="CB50" s="41"/>
      <c r="CC50" s="41"/>
      <c r="CD50" s="41"/>
      <c r="CE50" s="41"/>
      <c r="CF50" s="41"/>
      <c r="CG50" s="41"/>
      <c r="CH50" s="41"/>
      <c r="CI50" s="41"/>
      <c r="CJ50" s="41"/>
      <c r="CK50" s="41"/>
      <c r="CL50" s="41"/>
      <c r="CM50" s="41"/>
      <c r="CN50" s="41"/>
      <c r="CO50" s="41"/>
      <c r="CP50" s="41"/>
      <c r="CQ50" s="41"/>
      <c r="CR50" s="41"/>
      <c r="CS50" s="41"/>
      <c r="CT50" s="41"/>
      <c r="CU50" s="41"/>
      <c r="CV50" s="41"/>
      <c r="CW50" s="41"/>
      <c r="CX50" s="41"/>
      <c r="CY50" s="41"/>
      <c r="CZ50" s="41"/>
      <c r="DA50" s="41"/>
      <c r="DB50" s="41"/>
      <c r="DC50" s="41"/>
      <c r="DD50" s="41"/>
      <c r="DE50" s="41"/>
      <c r="DF50" s="41"/>
      <c r="DG50" s="41"/>
      <c r="DH50" s="41"/>
      <c r="DI50" s="41"/>
      <c r="DJ50" s="41"/>
      <c r="DK50" s="41"/>
      <c r="DL50" s="41"/>
      <c r="DM50" s="41"/>
      <c r="DN50" s="41"/>
      <c r="DO50" s="41"/>
      <c r="DP50" s="41"/>
      <c r="DQ50" s="41"/>
      <c r="DR50" s="41"/>
      <c r="DS50" s="41"/>
      <c r="DT50" s="41"/>
      <c r="DU50" s="41"/>
      <c r="DV50" s="41"/>
      <c r="DW50" s="41"/>
      <c r="DX50" s="41"/>
      <c r="DY50" s="41"/>
      <c r="DZ50" s="41"/>
      <c r="EA50" s="41"/>
      <c r="EB50" s="41"/>
      <c r="EC50" s="41"/>
      <c r="ED50" s="41"/>
      <c r="EE50" s="41"/>
      <c r="EF50" s="41"/>
      <c r="EG50" s="41"/>
      <c r="EH50" s="41"/>
      <c r="EI50" s="41"/>
      <c r="EJ50" s="41"/>
      <c r="EK50" s="41"/>
      <c r="EL50" s="41"/>
      <c r="EM50" s="41"/>
      <c r="EN50" s="41"/>
      <c r="EO50" s="41"/>
      <c r="EP50" s="41"/>
      <c r="EQ50" s="41"/>
    </row>
    <row r="51" spans="1:147" ht="15.6" x14ac:dyDescent="0.3">
      <c r="A51" s="14" t="s">
        <v>17</v>
      </c>
      <c r="G51" s="9">
        <f>G40+G48</f>
        <v>0</v>
      </c>
      <c r="H51" s="9">
        <f>H40+H48</f>
        <v>0</v>
      </c>
      <c r="I51" s="31"/>
      <c r="J51" s="36">
        <f>J40</f>
        <v>0</v>
      </c>
      <c r="K51" s="209"/>
      <c r="L51" s="209">
        <f>L50+L40</f>
        <v>0</v>
      </c>
      <c r="M51" s="36">
        <f>M40</f>
        <v>0</v>
      </c>
      <c r="N51" s="33"/>
      <c r="O51" s="209">
        <f>O40+O50</f>
        <v>0</v>
      </c>
      <c r="P51" s="36">
        <f>P40</f>
        <v>0</v>
      </c>
      <c r="Q51" s="15">
        <f>IF(ISBLANK(A51),"",IF(O51&gt;0,P51/O51,0))</f>
        <v>0</v>
      </c>
      <c r="R51" s="8">
        <f>IF(ISBLANK(A51),"",IF(J51&gt;0,1-O51/J51,1))</f>
        <v>1</v>
      </c>
    </row>
    <row r="52" spans="1:147" ht="4.5" customHeight="1" thickBot="1" x14ac:dyDescent="0.35">
      <c r="I52" s="31"/>
      <c r="J52" s="36"/>
      <c r="K52" s="209"/>
      <c r="L52" s="209"/>
      <c r="M52" s="36"/>
      <c r="O52" s="209"/>
      <c r="P52" s="36"/>
    </row>
    <row r="53" spans="1:147" ht="15.75" customHeight="1" thickBot="1" x14ac:dyDescent="0.35">
      <c r="A53" s="64" t="s">
        <v>62</v>
      </c>
      <c r="B53" s="65"/>
      <c r="C53" s="65"/>
      <c r="D53" s="65"/>
      <c r="E53" s="65"/>
      <c r="F53" s="65"/>
      <c r="G53" s="66"/>
      <c r="H53" s="122"/>
      <c r="I53" s="67"/>
      <c r="J53" s="68"/>
      <c r="K53" s="216"/>
      <c r="L53" s="216"/>
      <c r="M53" s="68"/>
      <c r="N53" s="67"/>
      <c r="O53" s="222">
        <f>O51</f>
        <v>0</v>
      </c>
      <c r="P53" s="44">
        <f>O53-L51</f>
        <v>0</v>
      </c>
      <c r="Q53" s="45">
        <f>IF(ISBLANK(A53),"",IF(O53&gt;0,P53/O53,0))</f>
        <v>0</v>
      </c>
      <c r="R53" s="46">
        <f>IF(ISBLANK(A53),"",IF(J53&gt;0,1-O53/J53,1))</f>
        <v>1</v>
      </c>
    </row>
    <row r="54" spans="1:147" ht="6" customHeight="1" x14ac:dyDescent="0.3">
      <c r="I54" s="31"/>
      <c r="J54" s="36"/>
      <c r="K54" s="209"/>
      <c r="L54" s="209"/>
      <c r="M54" s="36"/>
      <c r="O54" s="209"/>
      <c r="P54" s="36"/>
    </row>
    <row r="55" spans="1:147" outlineLevel="1" x14ac:dyDescent="0.3">
      <c r="A55" s="2" t="str">
        <f>IF($B$8="Estimate","Low Estimate","")</f>
        <v/>
      </c>
      <c r="G55" s="9">
        <f>G51*(1-$F$8)</f>
        <v>0</v>
      </c>
      <c r="H55" s="9">
        <f>H51*(1-$F$8)</f>
        <v>0</v>
      </c>
      <c r="I55" s="31"/>
      <c r="J55" s="36">
        <f>J51*(1-$F$8)</f>
        <v>0</v>
      </c>
      <c r="K55" s="209"/>
      <c r="L55" s="209">
        <f>L51*(1-$F$8)</f>
        <v>0</v>
      </c>
      <c r="M55" s="36">
        <f>M51*(1-$F$8)</f>
        <v>0</v>
      </c>
      <c r="N55" s="50"/>
      <c r="O55" s="209">
        <f>O51*(1-$F$8)</f>
        <v>0</v>
      </c>
      <c r="P55" s="36">
        <f>P51*(1-$F$8)</f>
        <v>0</v>
      </c>
      <c r="Q55" s="15">
        <f>IF(ISBLANK(A55),"",IF(O55&gt;0,P55/O55,0))</f>
        <v>0</v>
      </c>
      <c r="R55" s="8"/>
    </row>
    <row r="56" spans="1:147" outlineLevel="1" x14ac:dyDescent="0.3">
      <c r="A56" s="2" t="str">
        <f>IF($B$8="Estimate","High Estimate","")</f>
        <v/>
      </c>
      <c r="G56" s="9">
        <f>G51*(1+$F$9)</f>
        <v>0</v>
      </c>
      <c r="H56" s="9">
        <f>H51*(1+$F$9)</f>
        <v>0</v>
      </c>
      <c r="I56" s="31"/>
      <c r="J56" s="36">
        <f>J51*(1+$F$9)</f>
        <v>0</v>
      </c>
      <c r="K56" s="209"/>
      <c r="L56" s="209">
        <f>L51*(1+$F$9)</f>
        <v>0</v>
      </c>
      <c r="M56" s="36">
        <f>M51*(1+$F$9)</f>
        <v>0</v>
      </c>
      <c r="N56" s="50"/>
      <c r="O56" s="209">
        <f>O51*(1+$F$9)</f>
        <v>0</v>
      </c>
      <c r="P56" s="36">
        <f>P51*(1+$F$9)</f>
        <v>0</v>
      </c>
      <c r="Q56" s="15">
        <f>IF(ISBLANK(A56),"",IF(O56&gt;0,P56/O56,0))</f>
        <v>0</v>
      </c>
      <c r="R56" s="8"/>
    </row>
    <row r="57" spans="1:147" x14ac:dyDescent="0.3">
      <c r="I57" s="31"/>
    </row>
  </sheetData>
  <sheetProtection sheet="1" objects="1" scenarios="1" insertRows="0" sort="0" autoFilter="0" pivotTables="0"/>
  <mergeCells count="1">
    <mergeCell ref="A24:B24"/>
  </mergeCells>
  <dataValidations count="12">
    <dataValidation type="list" allowBlank="1" showInputMessage="1" showErrorMessage="1" sqref="C14:C23">
      <formula1>"APAC, EU, NA, SELECT ONE, ERROR"</formula1>
    </dataValidation>
    <dataValidation type="list" allowBlank="1" showInputMessage="1" showErrorMessage="1" sqref="B8">
      <formula1>"Quote, Estimate, Select One"</formula1>
    </dataValidation>
    <dataValidation type="list" allowBlank="1" showInputMessage="1" showErrorMessage="1" sqref="B4">
      <formula1>"T&amp;M, Fixed Price, SELECT ONE"</formula1>
    </dataValidation>
    <dataValidation type="list" showInputMessage="1" showErrorMessage="1" sqref="B10">
      <formula1>"SELECT ONE, APAC, EU, NA"</formula1>
    </dataValidation>
    <dataValidation type="date" operator="greaterThanOrEqual" allowBlank="1" showInputMessage="1" showErrorMessage="1" sqref="D14:D23 D43:D44 D29:E34 D28 D45:E47">
      <formula1>38353</formula1>
    </dataValidation>
    <dataValidation type="whole" showInputMessage="1" showErrorMessage="1" sqref="B9:C9">
      <formula1>8</formula1>
      <formula2>9</formula2>
    </dataValidation>
    <dataValidation type="decimal" allowBlank="1" showInputMessage="1" showErrorMessage="1" sqref="F28:F34">
      <formula1>0</formula1>
      <formula2>5</formula2>
    </dataValidation>
    <dataValidation type="date" operator="greaterThan" allowBlank="1" showInputMessage="1" showErrorMessage="1" sqref="E43:E44 E14:E23 E28">
      <formula1>38353</formula1>
    </dataValidation>
    <dataValidation type="list" showInputMessage="1" showErrorMessage="1" sqref="C4">
      <formula1>"T&amp;M, Fixed Price, SELECT ONE"</formula1>
    </dataValidation>
    <dataValidation type="list" showInputMessage="1" showErrorMessage="1" sqref="C8">
      <formula1>"Quote, Estimate, SELECT ONE"</formula1>
    </dataValidation>
    <dataValidation type="decimal" allowBlank="1" showInputMessage="1" showErrorMessage="1" sqref="F43">
      <formula1>0</formula1>
      <formula2>1</formula2>
    </dataValidation>
    <dataValidation type="decimal" allowBlank="1" showInputMessage="1" showErrorMessage="1" sqref="F14:F23">
      <formula1>0</formula1>
      <formula2>9</formula2>
    </dataValidation>
  </dataValidations>
  <pageMargins left="0.75" right="0.75" top="1" bottom="1" header="0.5" footer="0.5"/>
  <pageSetup scale="54" fitToHeight="5" orientation="landscape"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gsrates!$A$60:$A$96</xm:f>
          </x14:formula1>
          <xm:sqref>A14:A23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pageSetUpPr fitToPage="1"/>
  </sheetPr>
  <dimension ref="A1:EQ57"/>
  <sheetViews>
    <sheetView workbookViewId="0">
      <pane xSplit="2" ySplit="13" topLeftCell="C14" activePane="bottomRight" state="frozen"/>
      <selection activeCell="G43" activeCellId="7" sqref="A5:B10 F36 G43 G43 F43 E43 F36 G43"/>
      <selection pane="topRight" activeCell="G43" activeCellId="7" sqref="A5:B10 F36 G43 G43 F43 E43 F36 G43"/>
      <selection pane="bottomLeft" activeCell="G43" activeCellId="7" sqref="A5:B10 F36 G43 G43 F43 E43 F36 G43"/>
      <selection pane="bottomRight" activeCell="B6" sqref="B6"/>
    </sheetView>
  </sheetViews>
  <sheetFormatPr defaultColWidth="9.33203125" defaultRowHeight="13.8" outlineLevelRow="1" x14ac:dyDescent="0.3"/>
  <cols>
    <col min="1" max="1" width="30.33203125" style="2" customWidth="1"/>
    <col min="2" max="2" width="15.109375" style="2" bestFit="1" customWidth="1"/>
    <col min="3" max="3" width="15.109375" style="2" hidden="1" customWidth="1"/>
    <col min="4" max="5" width="10.44140625" style="2" customWidth="1"/>
    <col min="6" max="6" width="13" style="2" bestFit="1" customWidth="1"/>
    <col min="7" max="7" width="11" style="2" bestFit="1" customWidth="1"/>
    <col min="8" max="8" width="11" style="116" customWidth="1"/>
    <col min="9" max="9" width="12.77734375" style="2" customWidth="1"/>
    <col min="10" max="10" width="15" style="2" bestFit="1" customWidth="1"/>
    <col min="11" max="11" width="12.33203125" style="203" customWidth="1"/>
    <col min="12" max="12" width="11.44140625" style="203" customWidth="1"/>
    <col min="13" max="13" width="11.44140625" style="2" customWidth="1"/>
    <col min="14" max="14" width="10.77734375" style="31" customWidth="1"/>
    <col min="15" max="15" width="14.33203125" style="203" customWidth="1"/>
    <col min="16" max="16" width="11.44140625" style="2" customWidth="1"/>
    <col min="17" max="17" width="10" style="2" customWidth="1"/>
    <col min="18" max="18" width="11.109375" style="2" customWidth="1"/>
    <col min="19" max="19" width="9.33203125" style="2"/>
    <col min="20" max="20" width="9.33203125" style="41" hidden="1" customWidth="1"/>
    <col min="21" max="21" width="9.33203125" style="41"/>
    <col min="22" max="22" width="27.6640625" style="41" bestFit="1" customWidth="1"/>
    <col min="23" max="23" width="12.109375" style="41" customWidth="1"/>
    <col min="24" max="24" width="28.109375" style="41" hidden="1" customWidth="1"/>
    <col min="25" max="147" width="9.33203125" style="41"/>
    <col min="148" max="16384" width="9.33203125" style="2"/>
  </cols>
  <sheetData>
    <row r="1" spans="1:147" x14ac:dyDescent="0.3">
      <c r="A1" s="2" t="s">
        <v>0</v>
      </c>
      <c r="B1" s="139" t="str">
        <f>IF(ISBLANK(Summary!B1)," ",Summary!B1)</f>
        <v>&lt;Enter Account Name&gt;</v>
      </c>
      <c r="C1" s="141"/>
    </row>
    <row r="2" spans="1:147" x14ac:dyDescent="0.3">
      <c r="A2" s="2" t="s">
        <v>164</v>
      </c>
      <c r="B2" s="139" t="str">
        <f>IF(ISBLANK(Summary!B3)," ",Summary!B3)</f>
        <v>NEW ECR</v>
      </c>
      <c r="C2" s="141"/>
      <c r="V2" s="42"/>
      <c r="X2" s="41" t="s">
        <v>99</v>
      </c>
    </row>
    <row r="3" spans="1:147" x14ac:dyDescent="0.3">
      <c r="A3" s="2" t="s">
        <v>2</v>
      </c>
      <c r="B3" s="2" t="s">
        <v>77</v>
      </c>
      <c r="C3" s="127"/>
      <c r="G3" s="127"/>
      <c r="H3" s="223"/>
      <c r="I3" s="127"/>
      <c r="J3" s="127"/>
      <c r="V3" s="42"/>
      <c r="X3" s="41" t="s">
        <v>100</v>
      </c>
    </row>
    <row r="4" spans="1:147" x14ac:dyDescent="0.3">
      <c r="A4" s="2" t="s">
        <v>3</v>
      </c>
      <c r="B4" s="139" t="s">
        <v>18</v>
      </c>
      <c r="C4" s="142"/>
      <c r="V4" s="42"/>
      <c r="X4" s="41" t="s">
        <v>169</v>
      </c>
    </row>
    <row r="5" spans="1:147" x14ac:dyDescent="0.3">
      <c r="A5" s="2" t="s">
        <v>150</v>
      </c>
      <c r="B5" s="99" t="str">
        <f>IF(ISBLANK(Summary!B6),"ADD on SUMMARY tab",Summary!B6)</f>
        <v>NA</v>
      </c>
      <c r="C5" s="99"/>
      <c r="G5" s="125" t="str">
        <f>IF(AND(O51&gt;0,O53=0),"Enter Total Price in N43"," ")</f>
        <v xml:space="preserve"> </v>
      </c>
      <c r="V5" s="42"/>
      <c r="X5" s="41" t="s">
        <v>101</v>
      </c>
    </row>
    <row r="6" spans="1:147" x14ac:dyDescent="0.3">
      <c r="A6" s="2" t="s">
        <v>4</v>
      </c>
      <c r="B6" s="88"/>
      <c r="C6" s="143"/>
      <c r="D6" s="4" t="str">
        <f>IF(B6&gt;MIN(D14:D34),"Staffing Starts before this date!",IF(B6&lt;MIN(D14:D34),"No staffing on start date!",""))</f>
        <v/>
      </c>
      <c r="E6"/>
      <c r="F6"/>
      <c r="G6"/>
      <c r="H6" s="117"/>
      <c r="I6"/>
      <c r="J6"/>
      <c r="K6" s="204"/>
      <c r="L6" s="204"/>
      <c r="M6"/>
      <c r="N6" s="50"/>
      <c r="O6" s="204"/>
      <c r="V6" s="42"/>
      <c r="X6" s="41" t="s">
        <v>102</v>
      </c>
    </row>
    <row r="7" spans="1:147" x14ac:dyDescent="0.3">
      <c r="A7" s="2" t="s">
        <v>5</v>
      </c>
      <c r="B7" s="88">
        <v>42916</v>
      </c>
      <c r="C7" s="143"/>
      <c r="D7" s="4" t="str">
        <f>IF(B7&gt;MAX(E14:E34),"Staffing ends before project end date!",IF(B7&lt;MAX(E14:E34),"Staffing continues after end date!",""))</f>
        <v>Staffing ends before project end date!</v>
      </c>
      <c r="E7"/>
      <c r="F7"/>
      <c r="G7"/>
      <c r="H7" s="117"/>
      <c r="I7"/>
      <c r="J7"/>
      <c r="K7" s="204"/>
      <c r="L7" s="204"/>
      <c r="M7"/>
      <c r="N7" s="50"/>
      <c r="O7" s="204"/>
      <c r="V7" s="42"/>
      <c r="X7" s="41" t="s">
        <v>103</v>
      </c>
    </row>
    <row r="8" spans="1:147" x14ac:dyDescent="0.3">
      <c r="A8" s="2" t="s">
        <v>6</v>
      </c>
      <c r="B8" s="139" t="str">
        <f>IF(ISBLANK(Summary!B9)," ",Summary!B9)</f>
        <v>Quote</v>
      </c>
      <c r="C8" s="142"/>
      <c r="E8" s="2" t="s">
        <v>160</v>
      </c>
      <c r="F8" s="89">
        <v>0.05</v>
      </c>
      <c r="V8" s="42"/>
      <c r="X8" s="41" t="s">
        <v>151</v>
      </c>
    </row>
    <row r="9" spans="1:147" x14ac:dyDescent="0.3">
      <c r="A9" s="2" t="s">
        <v>84</v>
      </c>
      <c r="B9" s="126">
        <v>8</v>
      </c>
      <c r="C9" s="144"/>
      <c r="E9" s="2" t="s">
        <v>159</v>
      </c>
      <c r="F9" s="89">
        <v>0.2</v>
      </c>
      <c r="V9" s="42"/>
      <c r="X9" s="41" t="s">
        <v>170</v>
      </c>
    </row>
    <row r="10" spans="1:147" x14ac:dyDescent="0.3">
      <c r="A10" s="2" t="s">
        <v>72</v>
      </c>
      <c r="B10" s="154" t="str">
        <f>IF(ISBLANK(Summary!B14),"SELECT ONE",Summary!B14)</f>
        <v>USD</v>
      </c>
      <c r="X10" s="41" t="s">
        <v>104</v>
      </c>
    </row>
    <row r="11" spans="1:147" x14ac:dyDescent="0.3">
      <c r="X11" s="41" t="s">
        <v>105</v>
      </c>
    </row>
    <row r="12" spans="1:147" x14ac:dyDescent="0.3">
      <c r="A12" s="3"/>
      <c r="B12" s="3"/>
      <c r="C12" s="3"/>
      <c r="D12" s="5"/>
      <c r="E12" s="5"/>
      <c r="F12" s="5"/>
      <c r="G12" s="6"/>
      <c r="H12" s="118"/>
      <c r="I12" s="6"/>
      <c r="J12" s="6"/>
      <c r="K12" s="205"/>
      <c r="L12" s="205"/>
      <c r="M12" s="6"/>
      <c r="N12" s="34" t="s">
        <v>85</v>
      </c>
      <c r="O12" s="205"/>
      <c r="P12" s="6"/>
      <c r="Q12" s="6"/>
      <c r="R12" s="6"/>
      <c r="X12" s="41" t="s">
        <v>106</v>
      </c>
    </row>
    <row r="13" spans="1:147" s="3" customFormat="1" x14ac:dyDescent="0.3">
      <c r="A13" s="12" t="s">
        <v>54</v>
      </c>
      <c r="B13" s="12" t="s">
        <v>55</v>
      </c>
      <c r="C13" s="12" t="s">
        <v>96</v>
      </c>
      <c r="D13" s="13" t="s">
        <v>56</v>
      </c>
      <c r="E13" s="13" t="s">
        <v>57</v>
      </c>
      <c r="F13" s="13" t="s">
        <v>7</v>
      </c>
      <c r="G13" s="13" t="s">
        <v>20</v>
      </c>
      <c r="H13" s="119" t="s">
        <v>83</v>
      </c>
      <c r="I13" s="35" t="s">
        <v>10</v>
      </c>
      <c r="J13" s="13" t="s">
        <v>58</v>
      </c>
      <c r="K13" s="206" t="s">
        <v>59</v>
      </c>
      <c r="L13" s="217" t="s">
        <v>31</v>
      </c>
      <c r="M13" s="13" t="s">
        <v>21</v>
      </c>
      <c r="N13" s="35" t="s">
        <v>22</v>
      </c>
      <c r="O13" s="217" t="s">
        <v>60</v>
      </c>
      <c r="P13" s="13" t="s">
        <v>32</v>
      </c>
      <c r="Q13" s="13" t="s">
        <v>23</v>
      </c>
      <c r="R13" s="13" t="s">
        <v>24</v>
      </c>
      <c r="T13" s="43"/>
      <c r="U13" s="43"/>
      <c r="V13" s="43"/>
      <c r="W13" s="43"/>
      <c r="X13" s="41" t="s">
        <v>143</v>
      </c>
      <c r="Y13" s="43"/>
      <c r="Z13" s="43"/>
      <c r="AA13" s="43"/>
      <c r="AB13" s="43"/>
      <c r="AC13" s="43"/>
      <c r="AD13" s="43"/>
      <c r="AE13" s="43"/>
      <c r="AF13" s="43"/>
      <c r="AG13" s="43"/>
      <c r="AH13" s="43"/>
      <c r="AI13" s="43"/>
      <c r="AJ13" s="43"/>
      <c r="AK13" s="43"/>
      <c r="AL13" s="43"/>
      <c r="AM13" s="43"/>
      <c r="AN13" s="43"/>
      <c r="AO13" s="43"/>
      <c r="AP13" s="43"/>
      <c r="AQ13" s="43"/>
      <c r="AR13" s="43"/>
      <c r="AS13" s="43"/>
      <c r="AT13" s="43"/>
      <c r="AU13" s="43"/>
      <c r="AV13" s="43"/>
      <c r="AW13" s="43"/>
      <c r="AX13" s="43"/>
      <c r="AY13" s="43"/>
      <c r="AZ13" s="43"/>
      <c r="BA13" s="43"/>
      <c r="BB13" s="43"/>
      <c r="BC13" s="43"/>
      <c r="BD13" s="43"/>
      <c r="BE13" s="43"/>
      <c r="BF13" s="43"/>
      <c r="BG13" s="43"/>
      <c r="BH13" s="43"/>
      <c r="BI13" s="43"/>
      <c r="BJ13" s="43"/>
      <c r="BK13" s="43"/>
      <c r="BL13" s="43"/>
      <c r="BM13" s="43"/>
      <c r="BN13" s="43"/>
      <c r="BO13" s="43"/>
      <c r="BP13" s="43"/>
      <c r="BQ13" s="43"/>
      <c r="BR13" s="43"/>
      <c r="BS13" s="43"/>
      <c r="BT13" s="43"/>
      <c r="BU13" s="43"/>
      <c r="BV13" s="43"/>
      <c r="BW13" s="43"/>
      <c r="BX13" s="43"/>
      <c r="BY13" s="43"/>
      <c r="BZ13" s="43"/>
      <c r="CA13" s="43"/>
      <c r="CB13" s="43"/>
      <c r="CC13" s="43"/>
      <c r="CD13" s="43"/>
      <c r="CE13" s="43"/>
      <c r="CF13" s="43"/>
      <c r="CG13" s="43"/>
      <c r="CH13" s="43"/>
      <c r="CI13" s="43"/>
      <c r="CJ13" s="43"/>
      <c r="CK13" s="43"/>
      <c r="CL13" s="43"/>
      <c r="CM13" s="43"/>
      <c r="CN13" s="43"/>
      <c r="CO13" s="43"/>
      <c r="CP13" s="43"/>
      <c r="CQ13" s="43"/>
      <c r="CR13" s="43"/>
      <c r="CS13" s="43"/>
      <c r="CT13" s="43"/>
      <c r="CU13" s="43"/>
      <c r="CV13" s="43"/>
      <c r="CW13" s="43"/>
      <c r="CX13" s="43"/>
      <c r="CY13" s="43"/>
      <c r="CZ13" s="43"/>
      <c r="DA13" s="43"/>
      <c r="DB13" s="43"/>
      <c r="DC13" s="43"/>
      <c r="DD13" s="43"/>
      <c r="DE13" s="43"/>
      <c r="DF13" s="43"/>
      <c r="DG13" s="43"/>
      <c r="DH13" s="43"/>
      <c r="DI13" s="43"/>
      <c r="DJ13" s="43"/>
      <c r="DK13" s="43"/>
      <c r="DL13" s="43"/>
      <c r="DM13" s="43"/>
      <c r="DN13" s="43"/>
      <c r="DO13" s="43"/>
      <c r="DP13" s="43"/>
      <c r="DQ13" s="43"/>
      <c r="DR13" s="43"/>
      <c r="DS13" s="43"/>
      <c r="DT13" s="43"/>
      <c r="DU13" s="43"/>
      <c r="DV13" s="43"/>
      <c r="DW13" s="43"/>
      <c r="DX13" s="43"/>
      <c r="DY13" s="43"/>
      <c r="DZ13" s="43"/>
      <c r="EA13" s="43"/>
      <c r="EB13" s="43"/>
      <c r="EC13" s="43"/>
      <c r="ED13" s="43"/>
      <c r="EE13" s="43"/>
      <c r="EF13" s="43"/>
      <c r="EG13" s="43"/>
      <c r="EH13" s="43"/>
      <c r="EI13" s="43"/>
      <c r="EJ13" s="43"/>
      <c r="EK13" s="43"/>
      <c r="EL13" s="43"/>
      <c r="EM13" s="43"/>
      <c r="EN13" s="43"/>
      <c r="EO13" s="43"/>
      <c r="EP13" s="43"/>
      <c r="EQ13" s="43"/>
    </row>
    <row r="14" spans="1:147" outlineLevel="1" x14ac:dyDescent="0.3">
      <c r="A14" s="160" t="s">
        <v>99</v>
      </c>
      <c r="B14" s="160"/>
      <c r="C14" s="87"/>
      <c r="D14" s="161"/>
      <c r="E14" s="161"/>
      <c r="F14" s="162">
        <v>0.1</v>
      </c>
      <c r="G14" s="163">
        <f t="shared" ref="G14:G23" si="0">IF(ISBLANK(A14),"",NETWORKDAYS(D14,E14)*F14)</f>
        <v>0</v>
      </c>
      <c r="H14" s="164">
        <f t="shared" ref="H14:H23" si="1">IF(ISBLANK(A14),"",G14*$B$9)</f>
        <v>0</v>
      </c>
      <c r="I14" s="176">
        <f>IF(ISBLANK(A14),"",VLOOKUP(A14,gsrates!$A$3:$AK$38,VLOOKUP($B$5,gsrates!$A$41:$C$58,2,FALSE),FALSE))</f>
        <v>330</v>
      </c>
      <c r="J14" s="80">
        <f t="shared" ref="J14:J23" si="2">IF(ISBLANK(A14),"",H14*I14)</f>
        <v>0</v>
      </c>
      <c r="K14" s="207">
        <f>IF(ISBLANK(A14),"",VLOOKUP(A14,gsrates!$A$3:$AK$38,VLOOKUP($B$5,gsrates!$A$41:$C$58,3,FALSE),FALSE))</f>
        <v>162</v>
      </c>
      <c r="L14" s="207">
        <f t="shared" ref="L14:L23" si="3">IF(ISBLANK(A14),"",K14*G14*8)</f>
        <v>0</v>
      </c>
      <c r="M14" s="80">
        <f t="shared" ref="M14:M23" si="4">IF(ISBLANK(A14),"",J14-L14)</f>
        <v>0</v>
      </c>
      <c r="N14" s="177">
        <v>0</v>
      </c>
      <c r="O14" s="207">
        <f t="shared" ref="O14:O23" si="5">IF(ISBLANK(A14),"",G14*N14*$B$9)</f>
        <v>0</v>
      </c>
      <c r="P14" s="80">
        <f t="shared" ref="P14:P23" si="6">IF(ISBLANK(A14),"",O14-L14)</f>
        <v>0</v>
      </c>
      <c r="Q14" s="155" t="e">
        <f t="shared" ref="Q14:Q23" si="7">IF(ISBLANK(A14),"",P14/O14)</f>
        <v>#DIV/0!</v>
      </c>
      <c r="R14" s="166" t="e">
        <f t="shared" ref="R14:R23" si="8">IF(ISBLANK(A14),"",1-O14/J14)</f>
        <v>#DIV/0!</v>
      </c>
      <c r="S14" s="373">
        <f>IF(ISBLANK(A14),"",VLOOKUP(A14,gsrates!$A$3:$AL$38,38,FALSE))</f>
        <v>0</v>
      </c>
      <c r="T14" s="41" t="str">
        <f t="shared" ref="T14:T23" si="9">IF(ISBLANK(A14),"",CONCATENATE(C14,"-",$B$5))</f>
        <v>-NA</v>
      </c>
      <c r="U14" s="388">
        <f>IF(S14=1,H14,0)</f>
        <v>0</v>
      </c>
      <c r="X14" s="41" t="s">
        <v>162</v>
      </c>
    </row>
    <row r="15" spans="1:147" outlineLevel="1" x14ac:dyDescent="0.3">
      <c r="A15" s="160"/>
      <c r="B15" s="160"/>
      <c r="C15" s="87"/>
      <c r="D15" s="161"/>
      <c r="E15" s="161"/>
      <c r="F15" s="162"/>
      <c r="G15" s="163" t="str">
        <f t="shared" si="0"/>
        <v/>
      </c>
      <c r="H15" s="164" t="str">
        <f t="shared" si="1"/>
        <v/>
      </c>
      <c r="I15" s="176" t="str">
        <f>IF(ISBLANK(A15),"",VLOOKUP(A15,gsrates!$A$3:$AK$38,VLOOKUP($B$5,gsrates!$A$41:$C$58,2,FALSE),FALSE))</f>
        <v/>
      </c>
      <c r="J15" s="80" t="str">
        <f t="shared" si="2"/>
        <v/>
      </c>
      <c r="K15" s="207" t="str">
        <f>IF(ISBLANK(A15),"",VLOOKUP(A15,gsrates!$A$3:$AK$38,VLOOKUP($B$5,gsrates!$A$41:$C$58,3,FALSE),FALSE))</f>
        <v/>
      </c>
      <c r="L15" s="207" t="str">
        <f t="shared" si="3"/>
        <v/>
      </c>
      <c r="M15" s="80" t="str">
        <f t="shared" si="4"/>
        <v/>
      </c>
      <c r="N15" s="177">
        <v>0</v>
      </c>
      <c r="O15" s="207" t="str">
        <f t="shared" si="5"/>
        <v/>
      </c>
      <c r="P15" s="80" t="str">
        <f t="shared" si="6"/>
        <v/>
      </c>
      <c r="Q15" s="155" t="str">
        <f t="shared" si="7"/>
        <v/>
      </c>
      <c r="R15" s="166" t="str">
        <f t="shared" si="8"/>
        <v/>
      </c>
      <c r="S15" s="373" t="str">
        <f>IF(ISBLANK(A15),"",VLOOKUP(A15,gsrates!$A$3:$AL$38,38,FALSE))</f>
        <v/>
      </c>
      <c r="T15" s="41" t="str">
        <f t="shared" si="9"/>
        <v/>
      </c>
      <c r="U15" s="388">
        <f t="shared" ref="U15:U23" si="10">IF(S15=1,H15,0)</f>
        <v>0</v>
      </c>
    </row>
    <row r="16" spans="1:147" outlineLevel="1" x14ac:dyDescent="0.3">
      <c r="A16" s="160"/>
      <c r="B16" s="160"/>
      <c r="C16" s="87"/>
      <c r="D16" s="161"/>
      <c r="E16" s="161"/>
      <c r="F16" s="162"/>
      <c r="G16" s="163" t="str">
        <f t="shared" si="0"/>
        <v/>
      </c>
      <c r="H16" s="164" t="str">
        <f t="shared" si="1"/>
        <v/>
      </c>
      <c r="I16" s="176" t="str">
        <f>IF(ISBLANK(A16),"",VLOOKUP(A16,gsrates!$A$3:$AK$38,VLOOKUP($B$5,gsrates!$A$41:$C$58,2,FALSE),FALSE))</f>
        <v/>
      </c>
      <c r="J16" s="80" t="str">
        <f t="shared" si="2"/>
        <v/>
      </c>
      <c r="K16" s="207" t="str">
        <f>IF(ISBLANK(A16),"",VLOOKUP(A16,gsrates!$A$3:$AK$38,VLOOKUP($B$5,gsrates!$A$41:$C$58,3,FALSE),FALSE))</f>
        <v/>
      </c>
      <c r="L16" s="207" t="str">
        <f t="shared" si="3"/>
        <v/>
      </c>
      <c r="M16" s="80" t="str">
        <f t="shared" si="4"/>
        <v/>
      </c>
      <c r="N16" s="177">
        <v>0</v>
      </c>
      <c r="O16" s="207" t="str">
        <f t="shared" si="5"/>
        <v/>
      </c>
      <c r="P16" s="80" t="str">
        <f t="shared" si="6"/>
        <v/>
      </c>
      <c r="Q16" s="155" t="str">
        <f t="shared" si="7"/>
        <v/>
      </c>
      <c r="R16" s="166" t="str">
        <f t="shared" si="8"/>
        <v/>
      </c>
      <c r="S16" s="373" t="str">
        <f>IF(ISBLANK(A16),"",VLOOKUP(A16,gsrates!$A$3:$AL$38,38,FALSE))</f>
        <v/>
      </c>
      <c r="T16" s="41" t="str">
        <f t="shared" si="9"/>
        <v/>
      </c>
      <c r="U16" s="388">
        <f t="shared" si="10"/>
        <v>0</v>
      </c>
    </row>
    <row r="17" spans="1:147" outlineLevel="1" x14ac:dyDescent="0.3">
      <c r="A17" s="160"/>
      <c r="B17" s="160"/>
      <c r="C17" s="87"/>
      <c r="D17" s="161"/>
      <c r="E17" s="161"/>
      <c r="F17" s="162"/>
      <c r="G17" s="163" t="str">
        <f t="shared" si="0"/>
        <v/>
      </c>
      <c r="H17" s="164" t="str">
        <f t="shared" si="1"/>
        <v/>
      </c>
      <c r="I17" s="176" t="str">
        <f>IF(ISBLANK(A17),"",VLOOKUP(A17,gsrates!$A$3:$AK$38,VLOOKUP($B$5,gsrates!$A$41:$C$58,2,FALSE),FALSE))</f>
        <v/>
      </c>
      <c r="J17" s="80" t="str">
        <f t="shared" si="2"/>
        <v/>
      </c>
      <c r="K17" s="207" t="str">
        <f>IF(ISBLANK(A17),"",VLOOKUP(A17,gsrates!$A$3:$AK$38,VLOOKUP($B$5,gsrates!$A$41:$C$58,3,FALSE),FALSE))</f>
        <v/>
      </c>
      <c r="L17" s="207" t="str">
        <f t="shared" si="3"/>
        <v/>
      </c>
      <c r="M17" s="80" t="str">
        <f t="shared" si="4"/>
        <v/>
      </c>
      <c r="N17" s="177">
        <v>0</v>
      </c>
      <c r="O17" s="207" t="str">
        <f t="shared" si="5"/>
        <v/>
      </c>
      <c r="P17" s="80" t="str">
        <f t="shared" si="6"/>
        <v/>
      </c>
      <c r="Q17" s="155" t="str">
        <f t="shared" si="7"/>
        <v/>
      </c>
      <c r="R17" s="166" t="str">
        <f t="shared" si="8"/>
        <v/>
      </c>
      <c r="S17" s="373" t="str">
        <f>IF(ISBLANK(A17),"",VLOOKUP(A17,gsrates!$A$3:$AL$38,38,FALSE))</f>
        <v/>
      </c>
      <c r="T17" s="41" t="str">
        <f t="shared" si="9"/>
        <v/>
      </c>
      <c r="U17" s="388">
        <f t="shared" si="10"/>
        <v>0</v>
      </c>
    </row>
    <row r="18" spans="1:147" outlineLevel="1" x14ac:dyDescent="0.3">
      <c r="A18" s="160"/>
      <c r="B18" s="160"/>
      <c r="C18" s="87"/>
      <c r="D18" s="161"/>
      <c r="E18" s="161"/>
      <c r="F18" s="162"/>
      <c r="G18" s="163" t="str">
        <f t="shared" si="0"/>
        <v/>
      </c>
      <c r="H18" s="164" t="str">
        <f t="shared" si="1"/>
        <v/>
      </c>
      <c r="I18" s="176" t="str">
        <f>IF(ISBLANK(A18),"",VLOOKUP(A18,gsrates!$A$3:$AK$38,VLOOKUP($B$5,gsrates!$A$41:$C$58,2,FALSE),FALSE))</f>
        <v/>
      </c>
      <c r="J18" s="80" t="str">
        <f t="shared" si="2"/>
        <v/>
      </c>
      <c r="K18" s="207" t="str">
        <f>IF(ISBLANK(A18),"",VLOOKUP(A18,gsrates!$A$3:$AK$38,VLOOKUP($B$5,gsrates!$A$41:$C$58,3,FALSE),FALSE))</f>
        <v/>
      </c>
      <c r="L18" s="207" t="str">
        <f t="shared" si="3"/>
        <v/>
      </c>
      <c r="M18" s="80" t="str">
        <f t="shared" si="4"/>
        <v/>
      </c>
      <c r="N18" s="177">
        <v>0</v>
      </c>
      <c r="O18" s="207" t="str">
        <f t="shared" si="5"/>
        <v/>
      </c>
      <c r="P18" s="80" t="str">
        <f t="shared" si="6"/>
        <v/>
      </c>
      <c r="Q18" s="155" t="str">
        <f t="shared" si="7"/>
        <v/>
      </c>
      <c r="R18" s="166" t="str">
        <f t="shared" si="8"/>
        <v/>
      </c>
      <c r="S18" s="373" t="str">
        <f>IF(ISBLANK(A18),"",VLOOKUP(A18,gsrates!$A$3:$AL$38,38,FALSE))</f>
        <v/>
      </c>
      <c r="T18" s="41" t="str">
        <f t="shared" si="9"/>
        <v/>
      </c>
      <c r="U18" s="388">
        <f t="shared" si="10"/>
        <v>0</v>
      </c>
    </row>
    <row r="19" spans="1:147" outlineLevel="1" x14ac:dyDescent="0.3">
      <c r="A19" s="160"/>
      <c r="B19" s="160"/>
      <c r="C19" s="87"/>
      <c r="D19" s="161"/>
      <c r="E19" s="161"/>
      <c r="F19" s="162"/>
      <c r="G19" s="163" t="str">
        <f t="shared" si="0"/>
        <v/>
      </c>
      <c r="H19" s="164" t="str">
        <f t="shared" si="1"/>
        <v/>
      </c>
      <c r="I19" s="176" t="str">
        <f>IF(ISBLANK(A19),"",VLOOKUP(A19,gsrates!$A$3:$AK$38,VLOOKUP($B$5,gsrates!$A$41:$C$58,2,FALSE),FALSE))</f>
        <v/>
      </c>
      <c r="J19" s="80" t="str">
        <f t="shared" si="2"/>
        <v/>
      </c>
      <c r="K19" s="207" t="str">
        <f>IF(ISBLANK(A19),"",VLOOKUP(A19,gsrates!$A$3:$AK$38,VLOOKUP($B$5,gsrates!$A$41:$C$58,3,FALSE),FALSE))</f>
        <v/>
      </c>
      <c r="L19" s="207" t="str">
        <f t="shared" si="3"/>
        <v/>
      </c>
      <c r="M19" s="80" t="str">
        <f t="shared" si="4"/>
        <v/>
      </c>
      <c r="N19" s="177">
        <v>0</v>
      </c>
      <c r="O19" s="207" t="str">
        <f t="shared" si="5"/>
        <v/>
      </c>
      <c r="P19" s="80" t="str">
        <f t="shared" si="6"/>
        <v/>
      </c>
      <c r="Q19" s="155" t="str">
        <f t="shared" si="7"/>
        <v/>
      </c>
      <c r="R19" s="166" t="str">
        <f t="shared" si="8"/>
        <v/>
      </c>
      <c r="S19" s="373" t="str">
        <f>IF(ISBLANK(A19),"",VLOOKUP(A19,gsrates!$A$3:$AL$38,38,FALSE))</f>
        <v/>
      </c>
      <c r="T19" s="41" t="str">
        <f t="shared" si="9"/>
        <v/>
      </c>
      <c r="U19" s="388">
        <f t="shared" si="10"/>
        <v>0</v>
      </c>
    </row>
    <row r="20" spans="1:147" outlineLevel="1" x14ac:dyDescent="0.3">
      <c r="A20" s="160"/>
      <c r="B20" s="160"/>
      <c r="C20" s="87"/>
      <c r="D20" s="161"/>
      <c r="E20" s="161"/>
      <c r="F20" s="162"/>
      <c r="G20" s="163" t="str">
        <f t="shared" si="0"/>
        <v/>
      </c>
      <c r="H20" s="164" t="str">
        <f t="shared" si="1"/>
        <v/>
      </c>
      <c r="I20" s="176" t="str">
        <f>IF(ISBLANK(A20),"",VLOOKUP(A20,gsrates!$A$3:$AK$38,VLOOKUP($B$5,gsrates!$A$41:$C$58,2,FALSE),FALSE))</f>
        <v/>
      </c>
      <c r="J20" s="80" t="str">
        <f t="shared" si="2"/>
        <v/>
      </c>
      <c r="K20" s="207" t="str">
        <f>IF(ISBLANK(A20),"",VLOOKUP(A20,gsrates!$A$3:$AK$38,VLOOKUP($B$5,gsrates!$A$41:$C$58,3,FALSE),FALSE))</f>
        <v/>
      </c>
      <c r="L20" s="207" t="str">
        <f t="shared" si="3"/>
        <v/>
      </c>
      <c r="M20" s="80" t="str">
        <f t="shared" si="4"/>
        <v/>
      </c>
      <c r="N20" s="177">
        <v>0</v>
      </c>
      <c r="O20" s="207" t="str">
        <f t="shared" si="5"/>
        <v/>
      </c>
      <c r="P20" s="80" t="str">
        <f t="shared" si="6"/>
        <v/>
      </c>
      <c r="Q20" s="155" t="str">
        <f t="shared" si="7"/>
        <v/>
      </c>
      <c r="R20" s="166" t="str">
        <f t="shared" si="8"/>
        <v/>
      </c>
      <c r="S20" s="373" t="str">
        <f>IF(ISBLANK(A20),"",VLOOKUP(A20,gsrates!$A$3:$AL$38,38,FALSE))</f>
        <v/>
      </c>
      <c r="T20" s="41" t="str">
        <f t="shared" si="9"/>
        <v/>
      </c>
      <c r="U20" s="388">
        <f t="shared" si="10"/>
        <v>0</v>
      </c>
    </row>
    <row r="21" spans="1:147" outlineLevel="1" x14ac:dyDescent="0.3">
      <c r="A21" s="160"/>
      <c r="B21" s="160"/>
      <c r="C21" s="87"/>
      <c r="D21" s="161"/>
      <c r="E21" s="161"/>
      <c r="F21" s="162"/>
      <c r="G21" s="163" t="str">
        <f t="shared" si="0"/>
        <v/>
      </c>
      <c r="H21" s="164" t="str">
        <f t="shared" si="1"/>
        <v/>
      </c>
      <c r="I21" s="176" t="str">
        <f>IF(ISBLANK(A21),"",VLOOKUP(A21,gsrates!$A$3:$AK$38,VLOOKUP($B$5,gsrates!$A$41:$C$58,2,FALSE),FALSE))</f>
        <v/>
      </c>
      <c r="J21" s="80" t="str">
        <f t="shared" si="2"/>
        <v/>
      </c>
      <c r="K21" s="207" t="str">
        <f>IF(ISBLANK(A21),"",VLOOKUP(A21,gsrates!$A$3:$AK$38,VLOOKUP($B$5,gsrates!$A$41:$C$58,3,FALSE),FALSE))</f>
        <v/>
      </c>
      <c r="L21" s="207" t="str">
        <f t="shared" si="3"/>
        <v/>
      </c>
      <c r="M21" s="80" t="str">
        <f t="shared" si="4"/>
        <v/>
      </c>
      <c r="N21" s="177">
        <v>0</v>
      </c>
      <c r="O21" s="207" t="str">
        <f t="shared" si="5"/>
        <v/>
      </c>
      <c r="P21" s="80" t="str">
        <f t="shared" si="6"/>
        <v/>
      </c>
      <c r="Q21" s="155" t="str">
        <f t="shared" si="7"/>
        <v/>
      </c>
      <c r="R21" s="166" t="str">
        <f t="shared" si="8"/>
        <v/>
      </c>
      <c r="S21" s="373" t="str">
        <f>IF(ISBLANK(A21),"",VLOOKUP(A21,gsrates!$A$3:$AL$38,38,FALSE))</f>
        <v/>
      </c>
      <c r="T21" s="41" t="str">
        <f t="shared" si="9"/>
        <v/>
      </c>
      <c r="U21" s="388">
        <f t="shared" si="10"/>
        <v>0</v>
      </c>
    </row>
    <row r="22" spans="1:147" outlineLevel="1" x14ac:dyDescent="0.3">
      <c r="A22" s="160"/>
      <c r="B22" s="160"/>
      <c r="C22" s="87"/>
      <c r="D22" s="161"/>
      <c r="E22" s="161"/>
      <c r="F22" s="162"/>
      <c r="G22" s="163" t="str">
        <f t="shared" si="0"/>
        <v/>
      </c>
      <c r="H22" s="164" t="str">
        <f t="shared" si="1"/>
        <v/>
      </c>
      <c r="I22" s="176" t="str">
        <f>IF(ISBLANK(A22),"",VLOOKUP(A22,gsrates!$A$3:$AK$38,VLOOKUP($B$5,gsrates!$A$41:$C$58,2,FALSE),FALSE))</f>
        <v/>
      </c>
      <c r="J22" s="80" t="str">
        <f t="shared" si="2"/>
        <v/>
      </c>
      <c r="K22" s="207" t="str">
        <f>IF(ISBLANK(A22),"",VLOOKUP(A22,gsrates!$A$3:$AK$38,VLOOKUP($B$5,gsrates!$A$41:$C$58,3,FALSE),FALSE))</f>
        <v/>
      </c>
      <c r="L22" s="207" t="str">
        <f t="shared" si="3"/>
        <v/>
      </c>
      <c r="M22" s="80" t="str">
        <f t="shared" si="4"/>
        <v/>
      </c>
      <c r="N22" s="177">
        <v>0</v>
      </c>
      <c r="O22" s="207" t="str">
        <f t="shared" si="5"/>
        <v/>
      </c>
      <c r="P22" s="80" t="str">
        <f t="shared" si="6"/>
        <v/>
      </c>
      <c r="Q22" s="155" t="str">
        <f t="shared" si="7"/>
        <v/>
      </c>
      <c r="R22" s="166" t="str">
        <f t="shared" si="8"/>
        <v/>
      </c>
      <c r="S22" s="373" t="str">
        <f>IF(ISBLANK(A22),"",VLOOKUP(A22,gsrates!$A$3:$AL$38,38,FALSE))</f>
        <v/>
      </c>
      <c r="T22" s="41" t="str">
        <f t="shared" si="9"/>
        <v/>
      </c>
      <c r="U22" s="388">
        <f t="shared" si="10"/>
        <v>0</v>
      </c>
    </row>
    <row r="23" spans="1:147" s="11" customFormat="1" ht="14.4" outlineLevel="1" thickBot="1" x14ac:dyDescent="0.35">
      <c r="A23" s="167"/>
      <c r="B23" s="167"/>
      <c r="C23" s="167"/>
      <c r="D23" s="168"/>
      <c r="E23" s="168"/>
      <c r="F23" s="169"/>
      <c r="G23" s="170" t="str">
        <f t="shared" si="0"/>
        <v/>
      </c>
      <c r="H23" s="171" t="str">
        <f t="shared" si="1"/>
        <v/>
      </c>
      <c r="I23" s="178" t="str">
        <f>IF(ISBLANK(A23),"",VLOOKUP(A23,gsrates!$A$3:$AK$38,VLOOKUP($B$5,gsrates!$A$41:$C$58,2,FALSE),FALSE))</f>
        <v/>
      </c>
      <c r="J23" s="82" t="str">
        <f t="shared" si="2"/>
        <v/>
      </c>
      <c r="K23" s="208" t="str">
        <f>IF(ISBLANK(A23),"",VLOOKUP(A23,gsrates!$A$3:$AK$38,VLOOKUP($B$5,gsrates!$A$41:$C$58,3,FALSE),FALSE))</f>
        <v/>
      </c>
      <c r="L23" s="208" t="str">
        <f t="shared" si="3"/>
        <v/>
      </c>
      <c r="M23" s="82" t="str">
        <f t="shared" si="4"/>
        <v/>
      </c>
      <c r="N23" s="175">
        <v>0</v>
      </c>
      <c r="O23" s="208" t="str">
        <f t="shared" si="5"/>
        <v/>
      </c>
      <c r="P23" s="82" t="str">
        <f t="shared" si="6"/>
        <v/>
      </c>
      <c r="Q23" s="158" t="str">
        <f t="shared" si="7"/>
        <v/>
      </c>
      <c r="R23" s="173" t="str">
        <f t="shared" si="8"/>
        <v/>
      </c>
      <c r="S23" s="373" t="str">
        <f>IF(ISBLANK(A23),"",VLOOKUP(A23,gsrates!$A$3:$AL$38,38,FALSE))</f>
        <v/>
      </c>
      <c r="T23" s="41" t="str">
        <f t="shared" si="9"/>
        <v/>
      </c>
      <c r="U23" s="388">
        <f t="shared" si="10"/>
        <v>0</v>
      </c>
      <c r="V23" s="41"/>
      <c r="W23" s="41"/>
      <c r="X23" s="41"/>
      <c r="Y23" s="41"/>
      <c r="Z23" s="41"/>
      <c r="AA23" s="41"/>
      <c r="AB23" s="41"/>
      <c r="AC23" s="41"/>
      <c r="AD23" s="41"/>
      <c r="AE23" s="41"/>
      <c r="AF23" s="41"/>
      <c r="AG23" s="41"/>
      <c r="AH23" s="41"/>
      <c r="AI23" s="41"/>
      <c r="AJ23" s="41"/>
      <c r="AK23" s="41"/>
      <c r="AL23" s="41"/>
      <c r="AM23" s="41"/>
      <c r="AN23" s="41"/>
      <c r="AO23" s="41"/>
      <c r="AP23" s="41"/>
      <c r="AQ23" s="41"/>
      <c r="AR23" s="41"/>
      <c r="AS23" s="41"/>
      <c r="AT23" s="41"/>
      <c r="AU23" s="41"/>
      <c r="AV23" s="41"/>
      <c r="AW23" s="41"/>
      <c r="AX23" s="41"/>
      <c r="AY23" s="41"/>
      <c r="AZ23" s="41"/>
      <c r="BA23" s="41"/>
      <c r="BB23" s="41"/>
      <c r="BC23" s="41"/>
      <c r="BD23" s="41"/>
      <c r="BE23" s="41"/>
      <c r="BF23" s="41"/>
      <c r="BG23" s="41"/>
      <c r="BH23" s="41"/>
      <c r="BI23" s="41"/>
      <c r="BJ23" s="41"/>
      <c r="BK23" s="41"/>
      <c r="BL23" s="41"/>
      <c r="BM23" s="41"/>
      <c r="BN23" s="41"/>
      <c r="BO23" s="41"/>
      <c r="BP23" s="41"/>
      <c r="BQ23" s="41"/>
      <c r="BR23" s="41"/>
      <c r="BS23" s="41"/>
      <c r="BT23" s="41"/>
      <c r="BU23" s="41"/>
      <c r="BV23" s="41"/>
      <c r="BW23" s="41"/>
      <c r="BX23" s="41"/>
      <c r="BY23" s="41"/>
      <c r="BZ23" s="41"/>
      <c r="CA23" s="41"/>
      <c r="CB23" s="41"/>
      <c r="CC23" s="41"/>
      <c r="CD23" s="41"/>
      <c r="CE23" s="41"/>
      <c r="CF23" s="41"/>
      <c r="CG23" s="41"/>
      <c r="CH23" s="41"/>
      <c r="CI23" s="41"/>
      <c r="CJ23" s="41"/>
      <c r="CK23" s="41"/>
      <c r="CL23" s="41"/>
      <c r="CM23" s="41"/>
      <c r="CN23" s="41"/>
      <c r="CO23" s="41"/>
      <c r="CP23" s="41"/>
      <c r="CQ23" s="41"/>
      <c r="CR23" s="41"/>
      <c r="CS23" s="41"/>
      <c r="CT23" s="41"/>
      <c r="CU23" s="41"/>
      <c r="CV23" s="41"/>
      <c r="CW23" s="41"/>
      <c r="CX23" s="41"/>
      <c r="CY23" s="41"/>
      <c r="CZ23" s="41"/>
      <c r="DA23" s="41"/>
      <c r="DB23" s="41"/>
      <c r="DC23" s="41"/>
      <c r="DD23" s="41"/>
      <c r="DE23" s="41"/>
      <c r="DF23" s="41"/>
      <c r="DG23" s="41"/>
      <c r="DH23" s="41"/>
      <c r="DI23" s="41"/>
      <c r="DJ23" s="41"/>
      <c r="DK23" s="41"/>
      <c r="DL23" s="41"/>
      <c r="DM23" s="41"/>
      <c r="DN23" s="41"/>
      <c r="DO23" s="41"/>
      <c r="DP23" s="41"/>
      <c r="DQ23" s="41"/>
      <c r="DR23" s="41"/>
      <c r="DS23" s="41"/>
      <c r="DT23" s="41"/>
      <c r="DU23" s="41"/>
      <c r="DV23" s="41"/>
      <c r="DW23" s="41"/>
      <c r="DX23" s="41"/>
      <c r="DY23" s="41"/>
      <c r="DZ23" s="41"/>
      <c r="EA23" s="41"/>
      <c r="EB23" s="41"/>
      <c r="EC23" s="41"/>
      <c r="ED23" s="41"/>
      <c r="EE23" s="41"/>
      <c r="EF23" s="41"/>
      <c r="EG23" s="41"/>
      <c r="EH23" s="41"/>
      <c r="EI23" s="41"/>
      <c r="EJ23" s="41"/>
      <c r="EK23" s="41"/>
      <c r="EL23" s="41"/>
      <c r="EM23" s="41"/>
      <c r="EN23" s="41"/>
      <c r="EO23" s="41"/>
      <c r="EP23" s="41"/>
      <c r="EQ23" s="41"/>
    </row>
    <row r="24" spans="1:147" x14ac:dyDescent="0.3">
      <c r="A24" s="393" t="s">
        <v>11</v>
      </c>
      <c r="B24" s="393"/>
      <c r="C24" s="43"/>
      <c r="D24" s="7"/>
      <c r="E24" s="7"/>
      <c r="F24" s="8"/>
      <c r="G24" s="9">
        <f>SUM(G14:G23)</f>
        <v>0</v>
      </c>
      <c r="H24" s="9">
        <f>SUM(H14:H23)</f>
        <v>0</v>
      </c>
      <c r="I24" s="31"/>
      <c r="J24" s="36">
        <f>SUM(J14:J23)</f>
        <v>0</v>
      </c>
      <c r="K24" s="209"/>
      <c r="L24" s="209">
        <f>SUM(L14:L23)</f>
        <v>0</v>
      </c>
      <c r="M24" s="36">
        <f>SUM(M14:M23)</f>
        <v>0</v>
      </c>
      <c r="N24" s="33"/>
      <c r="O24" s="209">
        <f>SUM(O14:O23)</f>
        <v>0</v>
      </c>
      <c r="P24" s="36">
        <f>SUM(P14:P23)</f>
        <v>0</v>
      </c>
      <c r="Q24" s="15" t="str">
        <f>IF(G24=0,"",P24/O24)</f>
        <v/>
      </c>
      <c r="R24" s="8" t="str">
        <f>IF(G24=0,"",1-O24/J24)</f>
        <v/>
      </c>
      <c r="S24" s="374">
        <f>SUM(S14:S23)</f>
        <v>0</v>
      </c>
      <c r="U24" s="374">
        <f>SUM(U14:U23)</f>
        <v>0</v>
      </c>
    </row>
    <row r="25" spans="1:147" x14ac:dyDescent="0.3">
      <c r="D25" s="7"/>
      <c r="E25" s="7"/>
      <c r="F25" s="8"/>
      <c r="G25" s="9"/>
      <c r="H25" s="9"/>
      <c r="I25" s="31"/>
      <c r="J25" s="36"/>
      <c r="K25" s="209"/>
      <c r="L25" s="209"/>
      <c r="M25" s="36"/>
      <c r="N25" s="33"/>
      <c r="O25" s="209"/>
      <c r="P25" s="36"/>
      <c r="Q25" s="10"/>
      <c r="R25" s="8"/>
    </row>
    <row r="26" spans="1:147" outlineLevel="1" x14ac:dyDescent="0.3">
      <c r="B26" s="3"/>
      <c r="C26" s="3"/>
      <c r="D26" s="5"/>
      <c r="E26" s="5"/>
      <c r="F26" s="5"/>
      <c r="G26" s="6"/>
      <c r="H26" s="118"/>
      <c r="I26" s="34"/>
      <c r="J26" s="38"/>
      <c r="K26" s="210"/>
      <c r="L26" s="210"/>
      <c r="M26" s="38"/>
      <c r="N26" s="34"/>
      <c r="O26" s="210"/>
      <c r="P26" s="38"/>
      <c r="Q26" s="6"/>
      <c r="R26" s="6"/>
    </row>
    <row r="27" spans="1:147" outlineLevel="1" x14ac:dyDescent="0.3">
      <c r="A27" s="12" t="s">
        <v>12</v>
      </c>
      <c r="B27" s="12" t="s">
        <v>55</v>
      </c>
      <c r="C27" s="12"/>
      <c r="D27" s="13" t="s">
        <v>56</v>
      </c>
      <c r="E27" s="13" t="s">
        <v>57</v>
      </c>
      <c r="F27" s="13" t="s">
        <v>7</v>
      </c>
      <c r="G27" s="13" t="s">
        <v>20</v>
      </c>
      <c r="H27" s="119" t="s">
        <v>83</v>
      </c>
      <c r="I27" s="40" t="s">
        <v>10</v>
      </c>
      <c r="J27" s="13" t="s">
        <v>58</v>
      </c>
      <c r="K27" s="206" t="s">
        <v>59</v>
      </c>
      <c r="L27" s="218" t="s">
        <v>31</v>
      </c>
      <c r="M27" s="39" t="s">
        <v>21</v>
      </c>
      <c r="N27" s="35" t="s">
        <v>22</v>
      </c>
      <c r="O27" s="218" t="s">
        <v>60</v>
      </c>
      <c r="P27" s="13" t="s">
        <v>32</v>
      </c>
      <c r="Q27" s="13" t="s">
        <v>23</v>
      </c>
      <c r="R27" s="13" t="s">
        <v>24</v>
      </c>
    </row>
    <row r="28" spans="1:147" outlineLevel="1" x14ac:dyDescent="0.3">
      <c r="A28" s="87"/>
      <c r="B28" s="87"/>
      <c r="C28" s="87"/>
      <c r="D28" s="88"/>
      <c r="E28" s="88"/>
      <c r="F28" s="162"/>
      <c r="G28" s="9" t="str">
        <f t="shared" ref="G28:G34" si="11">IF(ISBLANK(A28),"",NETWORKDAYS(D28,E28)*F28)</f>
        <v/>
      </c>
      <c r="H28" s="120" t="str">
        <f t="shared" ref="H28:H34" si="12">IF(ISBLANK(A28),"",G28*$B$9)</f>
        <v/>
      </c>
      <c r="I28" s="90"/>
      <c r="J28" s="36" t="str">
        <f t="shared" ref="J28:J34" si="13">IF(ISBLANK(A28),"",H28*I28)</f>
        <v/>
      </c>
      <c r="K28" s="211"/>
      <c r="L28" s="219" t="str">
        <f t="shared" ref="L28:L34" si="14">IF(ISBLANK(A28)," ",(K28*G28*$B$9))</f>
        <v xml:space="preserve"> </v>
      </c>
      <c r="M28" s="36" t="str">
        <f>IF(ISBLANK(A28),"",(I28*G28*8)-L28)</f>
        <v/>
      </c>
      <c r="N28" s="90"/>
      <c r="O28" s="209" t="str">
        <f t="shared" ref="O28:O34" si="15">IF(ISBLANK(A28),"",G28*N28*$B$9)</f>
        <v/>
      </c>
      <c r="P28" s="36" t="str">
        <f t="shared" ref="P28:P34" si="16">IF(ISBLANK(A28),"",O28-L28)</f>
        <v/>
      </c>
      <c r="Q28" s="15" t="str">
        <f t="shared" ref="Q28:Q34" si="17">IF(ISBLANK(A28),"",P28/O28)</f>
        <v/>
      </c>
      <c r="R28" s="8" t="str">
        <f t="shared" ref="R28:R34" si="18">IF(ISBLANK(A28),"",1-O28/J28)</f>
        <v/>
      </c>
      <c r="T28" s="41" t="str">
        <f t="shared" ref="T28:T34" si="19">IF(ISBLANK(A28),"",CONCATENATE(C28,"-",$B$5))</f>
        <v/>
      </c>
      <c r="X28" s="43"/>
    </row>
    <row r="29" spans="1:147" outlineLevel="1" x14ac:dyDescent="0.3">
      <c r="A29" s="87"/>
      <c r="B29" s="87"/>
      <c r="C29" s="87"/>
      <c r="D29" s="88"/>
      <c r="E29" s="88"/>
      <c r="F29" s="162"/>
      <c r="G29" s="9" t="str">
        <f t="shared" si="11"/>
        <v/>
      </c>
      <c r="H29" s="120" t="str">
        <f t="shared" si="12"/>
        <v/>
      </c>
      <c r="I29" s="90"/>
      <c r="J29" s="36" t="str">
        <f t="shared" si="13"/>
        <v/>
      </c>
      <c r="K29" s="211"/>
      <c r="L29" s="219" t="str">
        <f t="shared" si="14"/>
        <v xml:space="preserve"> </v>
      </c>
      <c r="M29" s="36" t="str">
        <f t="shared" ref="M29:M34" si="20">IF(ISBLANK(A29),"",J29-L29)</f>
        <v/>
      </c>
      <c r="N29" s="90"/>
      <c r="O29" s="209" t="str">
        <f t="shared" si="15"/>
        <v/>
      </c>
      <c r="P29" s="36" t="str">
        <f t="shared" si="16"/>
        <v/>
      </c>
      <c r="Q29" s="15" t="str">
        <f t="shared" si="17"/>
        <v/>
      </c>
      <c r="R29" s="8" t="str">
        <f t="shared" si="18"/>
        <v/>
      </c>
      <c r="T29" s="41" t="str">
        <f t="shared" si="19"/>
        <v/>
      </c>
    </row>
    <row r="30" spans="1:147" outlineLevel="1" x14ac:dyDescent="0.3">
      <c r="A30" s="87"/>
      <c r="B30" s="87"/>
      <c r="C30" s="87"/>
      <c r="D30" s="88"/>
      <c r="E30" s="88"/>
      <c r="F30" s="162"/>
      <c r="G30" s="9" t="str">
        <f t="shared" si="11"/>
        <v/>
      </c>
      <c r="H30" s="120" t="str">
        <f t="shared" si="12"/>
        <v/>
      </c>
      <c r="I30" s="90"/>
      <c r="J30" s="36" t="str">
        <f t="shared" si="13"/>
        <v/>
      </c>
      <c r="K30" s="211"/>
      <c r="L30" s="219" t="str">
        <f t="shared" si="14"/>
        <v xml:space="preserve"> </v>
      </c>
      <c r="M30" s="36" t="str">
        <f t="shared" si="20"/>
        <v/>
      </c>
      <c r="N30" s="90"/>
      <c r="O30" s="209" t="str">
        <f t="shared" si="15"/>
        <v/>
      </c>
      <c r="P30" s="36" t="str">
        <f t="shared" si="16"/>
        <v/>
      </c>
      <c r="Q30" s="15" t="str">
        <f t="shared" si="17"/>
        <v/>
      </c>
      <c r="R30" s="8" t="str">
        <f t="shared" si="18"/>
        <v/>
      </c>
      <c r="T30" s="41" t="str">
        <f t="shared" si="19"/>
        <v/>
      </c>
    </row>
    <row r="31" spans="1:147" outlineLevel="1" x14ac:dyDescent="0.3">
      <c r="A31" s="87"/>
      <c r="B31" s="87"/>
      <c r="C31" s="87"/>
      <c r="D31" s="88"/>
      <c r="E31" s="88"/>
      <c r="F31" s="162"/>
      <c r="G31" s="9" t="str">
        <f t="shared" si="11"/>
        <v/>
      </c>
      <c r="H31" s="120" t="str">
        <f t="shared" si="12"/>
        <v/>
      </c>
      <c r="I31" s="90"/>
      <c r="J31" s="36" t="str">
        <f t="shared" si="13"/>
        <v/>
      </c>
      <c r="K31" s="211"/>
      <c r="L31" s="219" t="str">
        <f t="shared" si="14"/>
        <v xml:space="preserve"> </v>
      </c>
      <c r="M31" s="36" t="str">
        <f t="shared" si="20"/>
        <v/>
      </c>
      <c r="N31" s="90"/>
      <c r="O31" s="209" t="str">
        <f t="shared" si="15"/>
        <v/>
      </c>
      <c r="P31" s="36" t="str">
        <f t="shared" si="16"/>
        <v/>
      </c>
      <c r="Q31" s="15" t="str">
        <f t="shared" si="17"/>
        <v/>
      </c>
      <c r="R31" s="8" t="str">
        <f t="shared" si="18"/>
        <v/>
      </c>
      <c r="T31" s="41" t="str">
        <f t="shared" si="19"/>
        <v/>
      </c>
    </row>
    <row r="32" spans="1:147" outlineLevel="1" x14ac:dyDescent="0.3">
      <c r="A32" s="87"/>
      <c r="B32" s="87"/>
      <c r="C32" s="87"/>
      <c r="D32" s="88"/>
      <c r="E32" s="88"/>
      <c r="F32" s="162"/>
      <c r="G32" s="9" t="str">
        <f t="shared" si="11"/>
        <v/>
      </c>
      <c r="H32" s="120" t="str">
        <f t="shared" si="12"/>
        <v/>
      </c>
      <c r="I32" s="90"/>
      <c r="J32" s="36" t="str">
        <f t="shared" si="13"/>
        <v/>
      </c>
      <c r="K32" s="211"/>
      <c r="L32" s="219" t="str">
        <f t="shared" si="14"/>
        <v xml:space="preserve"> </v>
      </c>
      <c r="M32" s="36" t="str">
        <f t="shared" si="20"/>
        <v/>
      </c>
      <c r="N32" s="90"/>
      <c r="O32" s="209" t="str">
        <f t="shared" si="15"/>
        <v/>
      </c>
      <c r="P32" s="36" t="str">
        <f t="shared" si="16"/>
        <v/>
      </c>
      <c r="Q32" s="15" t="str">
        <f t="shared" si="17"/>
        <v/>
      </c>
      <c r="R32" s="8" t="str">
        <f t="shared" si="18"/>
        <v/>
      </c>
      <c r="T32" s="41" t="str">
        <f t="shared" si="19"/>
        <v/>
      </c>
    </row>
    <row r="33" spans="1:147" outlineLevel="1" x14ac:dyDescent="0.3">
      <c r="A33" s="87"/>
      <c r="B33" s="87"/>
      <c r="C33" s="87"/>
      <c r="D33" s="88"/>
      <c r="E33" s="88"/>
      <c r="F33" s="162"/>
      <c r="G33" s="9" t="str">
        <f t="shared" si="11"/>
        <v/>
      </c>
      <c r="H33" s="120" t="str">
        <f t="shared" si="12"/>
        <v/>
      </c>
      <c r="I33" s="90"/>
      <c r="J33" s="36" t="str">
        <f t="shared" si="13"/>
        <v/>
      </c>
      <c r="K33" s="211"/>
      <c r="L33" s="219" t="str">
        <f t="shared" si="14"/>
        <v xml:space="preserve"> </v>
      </c>
      <c r="M33" s="36" t="str">
        <f t="shared" si="20"/>
        <v/>
      </c>
      <c r="N33" s="90"/>
      <c r="O33" s="209" t="str">
        <f t="shared" si="15"/>
        <v/>
      </c>
      <c r="P33" s="36" t="str">
        <f t="shared" si="16"/>
        <v/>
      </c>
      <c r="Q33" s="15" t="str">
        <f t="shared" si="17"/>
        <v/>
      </c>
      <c r="R33" s="8" t="str">
        <f t="shared" si="18"/>
        <v/>
      </c>
      <c r="T33" s="41" t="str">
        <f t="shared" si="19"/>
        <v/>
      </c>
    </row>
    <row r="34" spans="1:147" s="11" customFormat="1" ht="14.4" outlineLevel="1" thickBot="1" x14ac:dyDescent="0.35">
      <c r="A34" s="167"/>
      <c r="B34" s="167"/>
      <c r="C34" s="167"/>
      <c r="D34" s="168"/>
      <c r="E34" s="168"/>
      <c r="F34" s="169"/>
      <c r="G34" s="170" t="str">
        <f t="shared" si="11"/>
        <v/>
      </c>
      <c r="H34" s="171" t="str">
        <f t="shared" si="12"/>
        <v/>
      </c>
      <c r="I34" s="175"/>
      <c r="J34" s="82" t="str">
        <f t="shared" si="13"/>
        <v/>
      </c>
      <c r="K34" s="212"/>
      <c r="L34" s="220" t="str">
        <f t="shared" si="14"/>
        <v xml:space="preserve"> </v>
      </c>
      <c r="M34" s="82" t="str">
        <f t="shared" si="20"/>
        <v/>
      </c>
      <c r="N34" s="175"/>
      <c r="O34" s="208" t="str">
        <f t="shared" si="15"/>
        <v/>
      </c>
      <c r="P34" s="82" t="str">
        <f t="shared" si="16"/>
        <v/>
      </c>
      <c r="Q34" s="158" t="str">
        <f t="shared" si="17"/>
        <v/>
      </c>
      <c r="R34" s="173" t="str">
        <f t="shared" si="18"/>
        <v/>
      </c>
      <c r="S34" s="174"/>
      <c r="T34" s="41" t="str">
        <f t="shared" si="19"/>
        <v/>
      </c>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J34" s="41"/>
      <c r="BK34" s="41"/>
      <c r="BL34" s="41"/>
      <c r="BM34" s="41"/>
      <c r="BN34" s="41"/>
      <c r="BO34" s="41"/>
      <c r="BP34" s="41"/>
      <c r="BQ34" s="41"/>
      <c r="BR34" s="41"/>
      <c r="BS34" s="41"/>
      <c r="BT34" s="41"/>
      <c r="BU34" s="41"/>
      <c r="BV34" s="41"/>
      <c r="BW34" s="41"/>
      <c r="BX34" s="41"/>
      <c r="BY34" s="41"/>
      <c r="BZ34" s="41"/>
      <c r="CA34" s="41"/>
      <c r="CB34" s="41"/>
      <c r="CC34" s="41"/>
      <c r="CD34" s="41"/>
      <c r="CE34" s="41"/>
      <c r="CF34" s="41"/>
      <c r="CG34" s="41"/>
      <c r="CH34" s="41"/>
      <c r="CI34" s="41"/>
      <c r="CJ34" s="41"/>
      <c r="CK34" s="41"/>
      <c r="CL34" s="41"/>
      <c r="CM34" s="41"/>
      <c r="CN34" s="41"/>
      <c r="CO34" s="41"/>
      <c r="CP34" s="41"/>
      <c r="CQ34" s="41"/>
      <c r="CR34" s="41"/>
      <c r="CS34" s="41"/>
      <c r="CT34" s="41"/>
      <c r="CU34" s="41"/>
      <c r="CV34" s="41"/>
      <c r="CW34" s="41"/>
      <c r="CX34" s="41"/>
      <c r="CY34" s="41"/>
      <c r="CZ34" s="41"/>
      <c r="DA34" s="41"/>
      <c r="DB34" s="41"/>
      <c r="DC34" s="41"/>
      <c r="DD34" s="41"/>
      <c r="DE34" s="41"/>
      <c r="DF34" s="41"/>
      <c r="DG34" s="41"/>
      <c r="DH34" s="41"/>
      <c r="DI34" s="41"/>
      <c r="DJ34" s="41"/>
      <c r="DK34" s="41"/>
      <c r="DL34" s="41"/>
      <c r="DM34" s="41"/>
      <c r="DN34" s="41"/>
      <c r="DO34" s="41"/>
      <c r="DP34" s="41"/>
      <c r="DQ34" s="41"/>
      <c r="DR34" s="41"/>
      <c r="DS34" s="41"/>
      <c r="DT34" s="41"/>
      <c r="DU34" s="41"/>
      <c r="DV34" s="41"/>
      <c r="DW34" s="41"/>
      <c r="DX34" s="41"/>
      <c r="DY34" s="41"/>
      <c r="DZ34" s="41"/>
      <c r="EA34" s="41"/>
      <c r="EB34" s="41"/>
      <c r="EC34" s="41"/>
      <c r="ED34" s="41"/>
      <c r="EE34" s="41"/>
      <c r="EF34" s="41"/>
      <c r="EG34" s="41"/>
      <c r="EH34" s="41"/>
      <c r="EI34" s="41"/>
      <c r="EJ34" s="41"/>
      <c r="EK34" s="41"/>
      <c r="EL34" s="41"/>
      <c r="EM34" s="41"/>
      <c r="EN34" s="41"/>
      <c r="EO34" s="41"/>
      <c r="EP34" s="41"/>
      <c r="EQ34" s="41"/>
    </row>
    <row r="35" spans="1:147" x14ac:dyDescent="0.3">
      <c r="A35" s="3" t="s">
        <v>13</v>
      </c>
      <c r="G35" s="9">
        <f>SUM(G28:G34)</f>
        <v>0</v>
      </c>
      <c r="H35" s="9">
        <f>SUM(H28:H34)</f>
        <v>0</v>
      </c>
      <c r="I35" s="31"/>
      <c r="J35" s="36">
        <f>SUM(J28:J34)</f>
        <v>0</v>
      </c>
      <c r="K35" s="209"/>
      <c r="L35" s="209">
        <f>SUM(L28:L34)</f>
        <v>0</v>
      </c>
      <c r="M35" s="36">
        <f>SUM(M28:M34)</f>
        <v>0</v>
      </c>
      <c r="N35" s="33"/>
      <c r="O35" s="209">
        <f>SUM(O28:O34)</f>
        <v>0</v>
      </c>
      <c r="P35" s="36">
        <f>SUM(P28:P34)</f>
        <v>0</v>
      </c>
      <c r="Q35" s="15">
        <f>IF(ISBLANK(A35),"",IF(O35&gt;0,P35/O35,0))</f>
        <v>0</v>
      </c>
      <c r="R35" s="8">
        <f>IF(ISBLANK(A35),"",IF(J35&gt;0,1-O35/J35,1))</f>
        <v>1</v>
      </c>
    </row>
    <row r="36" spans="1:147" x14ac:dyDescent="0.3">
      <c r="I36" s="31"/>
      <c r="J36" s="36"/>
      <c r="K36" s="209"/>
      <c r="L36" s="209"/>
      <c r="M36" s="36"/>
      <c r="O36" s="209"/>
      <c r="P36" s="36"/>
    </row>
    <row r="37" spans="1:147" x14ac:dyDescent="0.3">
      <c r="A37" s="3" t="s">
        <v>14</v>
      </c>
      <c r="G37" s="17">
        <f>IF($B$4="Fixed Price",RISK!$L$5*(G24+G35),RISK!$N$5*(G24+G35))</f>
        <v>0</v>
      </c>
      <c r="H37" s="120">
        <f>IF(ISBLANK(B6),0,G37*B9)</f>
        <v>0</v>
      </c>
      <c r="I37" s="33"/>
      <c r="J37" s="51">
        <f>IF($B$4="Fixed Price",RISK!$L$5*(J24+J35),RISK!$N$5*(J24+J35))</f>
        <v>0</v>
      </c>
      <c r="K37" s="209"/>
      <c r="L37" s="51">
        <f>IF($B$4="Fixed Price",RISK!$L$5*(L24+L35),RISK!$N$5*(L24+L35))</f>
        <v>0</v>
      </c>
      <c r="M37" s="51">
        <f>IF($B$4="Fixed Price",RISK!$L$5*(M24+M35),RISK!$N$5*(M24+M35))</f>
        <v>0</v>
      </c>
      <c r="O37" s="51">
        <f>IF($B$4="Fixed Price",RISK!$L$5*(O24+O35),RISK!$N$5*(O24+O35))</f>
        <v>0</v>
      </c>
      <c r="P37" s="51">
        <f>IF($B$4="Fixed Price",RISK!$L$5*(P24+P35),RISK!$N$5*(P24+P35))</f>
        <v>0</v>
      </c>
      <c r="Q37" s="15" t="str">
        <f>IF(G37=0,"",P37/O37)</f>
        <v/>
      </c>
      <c r="R37" s="8" t="str">
        <f>IF(G37=0,"",1-O37/J37)</f>
        <v/>
      </c>
    </row>
    <row r="38" spans="1:147" x14ac:dyDescent="0.3">
      <c r="A38" s="3" t="s">
        <v>173</v>
      </c>
      <c r="G38" s="17">
        <f>IF($B$4="Fixed Price",RISK!$M$5*(G24+G35)+RISK!$O$5*(G24+G35),0)</f>
        <v>0</v>
      </c>
      <c r="H38" s="120">
        <f>IF(ISBLANK(B6),0,G38*B9)</f>
        <v>0</v>
      </c>
      <c r="I38" s="33"/>
      <c r="J38" s="17">
        <f>IF($B$4="Fixed Price",RISK!$M$5*(J24+J35)+RISK!$O$5*(J24+J35),0)</f>
        <v>0</v>
      </c>
      <c r="K38" s="209"/>
      <c r="L38" s="17">
        <f>IF($B$4="Fixed Price",RISK!$M$5*(L24+L35)+RISK!$O$5*(L24+L35),0)</f>
        <v>0</v>
      </c>
      <c r="M38" s="17">
        <f>IF($B$4="Fixed Price",RISK!$M$5*(M24+M35)+RISK!$O$5*(M24+M35),0)</f>
        <v>0</v>
      </c>
      <c r="O38" s="17">
        <f>IF($B$4="Fixed Price",RISK!$M$5*(O24+O35)+RISK!$O$5*(O24+O35),0)</f>
        <v>0</v>
      </c>
      <c r="P38" s="17">
        <f>IF($B$4="Fixed Price",RISK!$M$5*(P24+P35)+RISK!$O$5*(P24+P35),0)</f>
        <v>0</v>
      </c>
      <c r="Q38" s="15" t="str">
        <f>IF(G38=0,"",P38/O38)</f>
        <v/>
      </c>
      <c r="R38" s="8" t="str">
        <f>IF(G38=0,"",1-O38/J38)</f>
        <v/>
      </c>
    </row>
    <row r="39" spans="1:147" x14ac:dyDescent="0.3">
      <c r="A39" s="3" t="s">
        <v>172</v>
      </c>
      <c r="G39" s="17">
        <f>IF($B$4="T&amp;M",RISK!$O$5*(G24+G35),0)</f>
        <v>0</v>
      </c>
      <c r="H39" s="120">
        <f>IF(ISBLANK(B6),0,G39*B9)</f>
        <v>0</v>
      </c>
      <c r="I39" s="33"/>
      <c r="J39" s="17">
        <f>IF($B$4="T&amp;M",RISK!$O$5*(J24+J35),0)</f>
        <v>0</v>
      </c>
      <c r="K39" s="209"/>
      <c r="L39" s="17">
        <f>IF($B$4="T&amp;M",RISK!$O$5*(L24+L35),0)</f>
        <v>0</v>
      </c>
      <c r="M39" s="17">
        <f>IF($B$4="T&amp;M",RISK!$O$5*(M24+M35),0)</f>
        <v>0</v>
      </c>
      <c r="O39" s="17">
        <f>IF($B$4="T&amp;M",RISK!$O$5*(O24+O35),0)</f>
        <v>0</v>
      </c>
      <c r="P39" s="17">
        <f>IF($B$4="T&amp;M",RISK!$O$5*(P24+P35),0)</f>
        <v>0</v>
      </c>
      <c r="Q39" s="15" t="str">
        <f>IF(G39=0,"",P39/O39)</f>
        <v/>
      </c>
      <c r="R39" s="8" t="str">
        <f>IF(G39=0,"",1-O39/J39)</f>
        <v/>
      </c>
    </row>
    <row r="40" spans="1:147" x14ac:dyDescent="0.3">
      <c r="A40" s="3" t="s">
        <v>147</v>
      </c>
      <c r="G40" s="17">
        <f>G24+G35+G37+G38+G39</f>
        <v>0</v>
      </c>
      <c r="H40" s="17">
        <f>H24+H35+H37+H38+H39</f>
        <v>0</v>
      </c>
      <c r="I40" s="33"/>
      <c r="J40" s="17">
        <f>J24+J35+J37+J38+J39</f>
        <v>0</v>
      </c>
      <c r="K40" s="209"/>
      <c r="L40" s="17">
        <f>L24+L35+L37+L38+L39</f>
        <v>0</v>
      </c>
      <c r="M40" s="17">
        <f>M24+M35+M37+M39+M50+M38</f>
        <v>0</v>
      </c>
      <c r="O40" s="17">
        <f>O24+O35+O37+O38+O39</f>
        <v>0</v>
      </c>
      <c r="P40" s="17">
        <f>P24+P35+P37+P39+P50+P38</f>
        <v>0</v>
      </c>
      <c r="Q40" s="15">
        <f>IF(ISBLANK(A40),"",IF(O40&gt;0,P40/O40,0))</f>
        <v>0</v>
      </c>
      <c r="R40" s="8"/>
    </row>
    <row r="41" spans="1:147" x14ac:dyDescent="0.3">
      <c r="A41" s="3"/>
      <c r="G41" s="17"/>
      <c r="H41" s="120"/>
      <c r="I41" s="33"/>
      <c r="J41" s="51"/>
      <c r="K41" s="209"/>
      <c r="L41" s="51"/>
      <c r="M41" s="51"/>
      <c r="O41" s="51"/>
      <c r="P41" s="51"/>
      <c r="Q41" s="15"/>
      <c r="R41" s="8"/>
    </row>
    <row r="42" spans="1:147" hidden="1" outlineLevel="1" x14ac:dyDescent="0.3">
      <c r="A42" s="12" t="s">
        <v>145</v>
      </c>
      <c r="B42" s="12"/>
      <c r="C42" s="12"/>
      <c r="D42" s="13" t="s">
        <v>56</v>
      </c>
      <c r="E42" s="13" t="s">
        <v>57</v>
      </c>
      <c r="F42" s="13" t="s">
        <v>149</v>
      </c>
      <c r="G42" s="13" t="s">
        <v>20</v>
      </c>
      <c r="H42" s="119" t="s">
        <v>83</v>
      </c>
      <c r="I42" s="40" t="s">
        <v>10</v>
      </c>
      <c r="J42" s="13" t="s">
        <v>58</v>
      </c>
      <c r="K42" s="206"/>
      <c r="L42" s="218" t="s">
        <v>31</v>
      </c>
      <c r="M42" s="39" t="s">
        <v>21</v>
      </c>
      <c r="N42" s="35" t="s">
        <v>22</v>
      </c>
      <c r="O42" s="218" t="s">
        <v>60</v>
      </c>
      <c r="P42" s="13" t="s">
        <v>32</v>
      </c>
      <c r="Q42" s="13"/>
      <c r="R42" s="13"/>
    </row>
    <row r="43" spans="1:147" hidden="1" outlineLevel="1" x14ac:dyDescent="0.3">
      <c r="A43" s="160"/>
      <c r="B43" s="160"/>
      <c r="C43" s="160"/>
      <c r="D43" s="161"/>
      <c r="E43" s="161"/>
      <c r="F43" s="162"/>
      <c r="G43" s="163" t="str">
        <f>IF(ISBLANK(A43),"",NETWORKDAYS(D43,E43)*F43)</f>
        <v/>
      </c>
      <c r="H43" s="164" t="str">
        <f>IF(ISBLANK(A43),"",G43*$B$9)</f>
        <v/>
      </c>
      <c r="I43" s="165">
        <v>0</v>
      </c>
      <c r="J43" s="80" t="str">
        <f>IF(ISBLANK(A43),"",H43*I43)</f>
        <v/>
      </c>
      <c r="K43" s="213">
        <v>0</v>
      </c>
      <c r="L43" s="221" t="str">
        <f>IF(ISBLANK(A43)," ",(K43*G43*$B$9))</f>
        <v xml:space="preserve"> </v>
      </c>
      <c r="M43" s="80" t="str">
        <f>IF(ISBLANK(A43),"",(I43*G43*8)-L43)</f>
        <v/>
      </c>
      <c r="N43" s="165">
        <v>0</v>
      </c>
      <c r="O43" s="207" t="str">
        <f>IF(ISBLANK(A43),"",G43*N43*$B$9)</f>
        <v/>
      </c>
      <c r="P43" s="80" t="str">
        <f>IF(ISBLANK(A43),"",O43-L43)</f>
        <v/>
      </c>
      <c r="Q43" s="155"/>
      <c r="R43" s="166"/>
      <c r="S43" s="41"/>
      <c r="T43" s="41" t="str">
        <f>IF(ISBLANK(A43),"",CONCATENATE(C43,"-",$B$5))</f>
        <v/>
      </c>
      <c r="X43" s="43"/>
    </row>
    <row r="44" spans="1:147" hidden="1" outlineLevel="1" x14ac:dyDescent="0.3">
      <c r="A44" s="160"/>
      <c r="B44" s="160"/>
      <c r="C44" s="160"/>
      <c r="D44" s="161"/>
      <c r="E44" s="161"/>
      <c r="F44" s="162"/>
      <c r="G44" s="163" t="str">
        <f>IF(ISBLANK(A44),"",NETWORKDAYS(D44,E44)*F44)</f>
        <v/>
      </c>
      <c r="H44" s="164" t="str">
        <f>IF(ISBLANK(A44),"",G44*$B$9)</f>
        <v/>
      </c>
      <c r="I44" s="165">
        <v>0</v>
      </c>
      <c r="J44" s="80" t="str">
        <f>IF(ISBLANK(A44),"",H44*I44)</f>
        <v/>
      </c>
      <c r="K44" s="213">
        <v>0</v>
      </c>
      <c r="L44" s="221" t="str">
        <f>IF(ISBLANK(A44)," ",(K44*G44*$B$9))</f>
        <v xml:space="preserve"> </v>
      </c>
      <c r="M44" s="80" t="str">
        <f>IF(ISBLANK(A44),"",J44-L44)</f>
        <v/>
      </c>
      <c r="N44" s="165">
        <v>0</v>
      </c>
      <c r="O44" s="207" t="str">
        <f>IF(ISBLANK(A44),"",G44*N44*$B$9)</f>
        <v/>
      </c>
      <c r="P44" s="80" t="str">
        <f>IF(ISBLANK(A44),"",O44-L44)</f>
        <v/>
      </c>
      <c r="Q44" s="155"/>
      <c r="R44" s="166"/>
      <c r="S44" s="41"/>
      <c r="T44" s="41" t="str">
        <f>IF(ISBLANK(A44),"",CONCATENATE(C44,"-",$B$5))</f>
        <v/>
      </c>
    </row>
    <row r="45" spans="1:147" hidden="1" outlineLevel="1" x14ac:dyDescent="0.3">
      <c r="A45" s="160"/>
      <c r="B45" s="160"/>
      <c r="C45" s="160"/>
      <c r="D45" s="161"/>
      <c r="E45" s="161"/>
      <c r="F45" s="162"/>
      <c r="G45" s="163" t="str">
        <f>IF(ISBLANK(A45),"",NETWORKDAYS(D45,E45)*F45)</f>
        <v/>
      </c>
      <c r="H45" s="164" t="str">
        <f>IF(ISBLANK(A45),"",G45*$B$9)</f>
        <v/>
      </c>
      <c r="I45" s="165">
        <v>0</v>
      </c>
      <c r="J45" s="80" t="str">
        <f>IF(ISBLANK(A45),"",H45*I45)</f>
        <v/>
      </c>
      <c r="K45" s="213">
        <v>0</v>
      </c>
      <c r="L45" s="221" t="str">
        <f>IF(ISBLANK(A45)," ",(K45*G45*$B$9))</f>
        <v xml:space="preserve"> </v>
      </c>
      <c r="M45" s="80" t="str">
        <f>IF(ISBLANK(A45),"",J45-L45)</f>
        <v/>
      </c>
      <c r="N45" s="165">
        <v>0</v>
      </c>
      <c r="O45" s="207" t="str">
        <f>IF(ISBLANK(A45),"",G45*N45*$B$9)</f>
        <v/>
      </c>
      <c r="P45" s="80" t="str">
        <f>IF(ISBLANK(A45),"",O45-L45)</f>
        <v/>
      </c>
      <c r="Q45" s="155" t="str">
        <f>IF(ISBLANK(A45),"",P45/O45)</f>
        <v/>
      </c>
      <c r="R45" s="166" t="str">
        <f>IF(ISBLANK(A45),"",1-O45/J45)</f>
        <v/>
      </c>
      <c r="S45" s="41"/>
      <c r="T45" s="41" t="str">
        <f>IF(ISBLANK(A45),"",CONCATENATE(C45,"-",$B$5))</f>
        <v/>
      </c>
    </row>
    <row r="46" spans="1:147" hidden="1" outlineLevel="1" x14ac:dyDescent="0.3">
      <c r="A46" s="160"/>
      <c r="B46" s="160"/>
      <c r="C46" s="160"/>
      <c r="D46" s="161"/>
      <c r="E46" s="161"/>
      <c r="F46" s="162"/>
      <c r="G46" s="163" t="str">
        <f>IF(ISBLANK(A46),"",NETWORKDAYS(D46,E46)*F46)</f>
        <v/>
      </c>
      <c r="H46" s="164" t="str">
        <f>IF(ISBLANK(A46),"",G46*$B$9)</f>
        <v/>
      </c>
      <c r="I46" s="165">
        <v>0</v>
      </c>
      <c r="J46" s="80" t="str">
        <f>IF(ISBLANK(A46),"",H46*I46)</f>
        <v/>
      </c>
      <c r="K46" s="213">
        <v>0</v>
      </c>
      <c r="L46" s="221" t="str">
        <f>IF(ISBLANK(A46)," ",(K46*G46*$B$9))</f>
        <v xml:space="preserve"> </v>
      </c>
      <c r="M46" s="80" t="str">
        <f>IF(ISBLANK(A46),"",J46-L46)</f>
        <v/>
      </c>
      <c r="N46" s="165">
        <v>0</v>
      </c>
      <c r="O46" s="207" t="str">
        <f>IF(ISBLANK(A46),"",G46*N46*$B$9)</f>
        <v/>
      </c>
      <c r="P46" s="80" t="str">
        <f>IF(ISBLANK(A46),"",O46-L46)</f>
        <v/>
      </c>
      <c r="Q46" s="155" t="str">
        <f>IF(ISBLANK(A46),"",P46/O46)</f>
        <v/>
      </c>
      <c r="R46" s="166" t="str">
        <f>IF(ISBLANK(A46),"",1-O46/J46)</f>
        <v/>
      </c>
      <c r="S46" s="41"/>
      <c r="T46" s="41" t="str">
        <f>IF(ISBLANK(A46),"",CONCATENATE(C46,"-",$B$5))</f>
        <v/>
      </c>
    </row>
    <row r="47" spans="1:147" ht="14.4" hidden="1" outlineLevel="1" thickBot="1" x14ac:dyDescent="0.35">
      <c r="A47" s="167"/>
      <c r="B47" s="167"/>
      <c r="C47" s="167"/>
      <c r="D47" s="168"/>
      <c r="E47" s="168"/>
      <c r="F47" s="169"/>
      <c r="G47" s="170" t="str">
        <f>IF(ISBLANK(A47),"",NETWORKDAYS(D47,E47)*F47)</f>
        <v/>
      </c>
      <c r="H47" s="171" t="str">
        <f>IF(ISBLANK(A47),"",G47*$B$9)</f>
        <v/>
      </c>
      <c r="I47" s="172">
        <v>0</v>
      </c>
      <c r="J47" s="82" t="str">
        <f>IF(ISBLANK(A47),"",H47*I47)</f>
        <v/>
      </c>
      <c r="K47" s="214">
        <v>0</v>
      </c>
      <c r="L47" s="220" t="str">
        <f>IF(ISBLANK(A47)," ",(K47*G47*$B$9))</f>
        <v xml:space="preserve"> </v>
      </c>
      <c r="M47" s="82" t="str">
        <f>IF(ISBLANK(A47),"",J47-L47)</f>
        <v/>
      </c>
      <c r="N47" s="172">
        <v>0</v>
      </c>
      <c r="O47" s="208" t="str">
        <f>IF(ISBLANK(A47),"",G47*N47*$B$9)</f>
        <v/>
      </c>
      <c r="P47" s="82" t="str">
        <f>IF(ISBLANK(A47),"",O47-L47)</f>
        <v/>
      </c>
      <c r="Q47" s="158" t="str">
        <f>IF(ISBLANK(A47),"",P47/O47)</f>
        <v/>
      </c>
      <c r="R47" s="173" t="str">
        <f>IF(ISBLANK(A47),"",1-O47/J47)</f>
        <v/>
      </c>
      <c r="S47" s="174"/>
      <c r="T47" s="41" t="str">
        <f>IF(ISBLANK(A47),"",CONCATENATE(C47,"-",$B$5))</f>
        <v/>
      </c>
    </row>
    <row r="48" spans="1:147" hidden="1" x14ac:dyDescent="0.3">
      <c r="A48" s="3" t="s">
        <v>146</v>
      </c>
      <c r="G48" s="17">
        <f>SUM(G43:G47)</f>
        <v>0</v>
      </c>
      <c r="H48" s="17">
        <f>SUM(H43:H47)</f>
        <v>0</v>
      </c>
      <c r="I48" s="33"/>
      <c r="J48" s="51"/>
      <c r="K48" s="209"/>
      <c r="L48" s="51"/>
      <c r="M48" s="51"/>
      <c r="O48" s="51"/>
      <c r="P48" s="51"/>
      <c r="Q48" s="15"/>
      <c r="R48" s="8"/>
    </row>
    <row r="49" spans="1:147" hidden="1" x14ac:dyDescent="0.3">
      <c r="A49" s="3"/>
      <c r="G49" s="17"/>
      <c r="H49" s="120"/>
      <c r="I49" s="33"/>
      <c r="J49" s="123"/>
      <c r="K49" s="209"/>
      <c r="L49" s="51"/>
      <c r="M49" s="51"/>
      <c r="O49" s="123"/>
      <c r="P49" s="51"/>
      <c r="Q49" s="15" t="str">
        <f>IF(G49=0,"",P49/O49)</f>
        <v/>
      </c>
      <c r="R49" s="8" t="str">
        <f>IF(G49=0,"",1-O49/J49)</f>
        <v/>
      </c>
    </row>
    <row r="50" spans="1:147" s="11" customFormat="1" x14ac:dyDescent="0.3">
      <c r="A50" s="12" t="s">
        <v>16</v>
      </c>
      <c r="H50" s="121"/>
      <c r="I50" s="32"/>
      <c r="J50" s="37"/>
      <c r="K50" s="215"/>
      <c r="L50" s="215">
        <f>'Non-Reimbursable Expenses'!B20</f>
        <v>0</v>
      </c>
      <c r="M50" s="37"/>
      <c r="N50" s="32"/>
      <c r="O50" s="215">
        <f>IF($B$4="Fixed Price",L50,0)</f>
        <v>0</v>
      </c>
      <c r="P50" s="37"/>
      <c r="Q50" s="18"/>
      <c r="T50" s="41"/>
      <c r="U50" s="41"/>
      <c r="V50" s="41"/>
      <c r="W50" s="41"/>
      <c r="X50" s="41"/>
      <c r="Y50" s="41"/>
      <c r="Z50" s="41"/>
      <c r="AA50" s="41"/>
      <c r="AB50" s="41"/>
      <c r="AC50" s="41"/>
      <c r="AD50" s="41"/>
      <c r="AE50" s="41"/>
      <c r="AF50" s="41"/>
      <c r="AG50" s="41"/>
      <c r="AH50" s="41"/>
      <c r="AI50" s="41"/>
      <c r="AJ50" s="41"/>
      <c r="AK50" s="41"/>
      <c r="AL50" s="41"/>
      <c r="AM50" s="41"/>
      <c r="AN50" s="41"/>
      <c r="AO50" s="41"/>
      <c r="AP50" s="41"/>
      <c r="AQ50" s="41"/>
      <c r="AR50" s="41"/>
      <c r="AS50" s="41"/>
      <c r="AT50" s="41"/>
      <c r="AU50" s="41"/>
      <c r="AV50" s="41"/>
      <c r="AW50" s="41"/>
      <c r="AX50" s="41"/>
      <c r="AY50" s="41"/>
      <c r="AZ50" s="41"/>
      <c r="BA50" s="41"/>
      <c r="BB50" s="41"/>
      <c r="BC50" s="41"/>
      <c r="BD50" s="41"/>
      <c r="BE50" s="41"/>
      <c r="BF50" s="41"/>
      <c r="BG50" s="41"/>
      <c r="BH50" s="41"/>
      <c r="BI50" s="41"/>
      <c r="BJ50" s="41"/>
      <c r="BK50" s="41"/>
      <c r="BL50" s="41"/>
      <c r="BM50" s="41"/>
      <c r="BN50" s="41"/>
      <c r="BO50" s="41"/>
      <c r="BP50" s="41"/>
      <c r="BQ50" s="41"/>
      <c r="BR50" s="41"/>
      <c r="BS50" s="41"/>
      <c r="BT50" s="41"/>
      <c r="BU50" s="41"/>
      <c r="BV50" s="41"/>
      <c r="BW50" s="41"/>
      <c r="BX50" s="41"/>
      <c r="BY50" s="41"/>
      <c r="BZ50" s="41"/>
      <c r="CA50" s="41"/>
      <c r="CB50" s="41"/>
      <c r="CC50" s="41"/>
      <c r="CD50" s="41"/>
      <c r="CE50" s="41"/>
      <c r="CF50" s="41"/>
      <c r="CG50" s="41"/>
      <c r="CH50" s="41"/>
      <c r="CI50" s="41"/>
      <c r="CJ50" s="41"/>
      <c r="CK50" s="41"/>
      <c r="CL50" s="41"/>
      <c r="CM50" s="41"/>
      <c r="CN50" s="41"/>
      <c r="CO50" s="41"/>
      <c r="CP50" s="41"/>
      <c r="CQ50" s="41"/>
      <c r="CR50" s="41"/>
      <c r="CS50" s="41"/>
      <c r="CT50" s="41"/>
      <c r="CU50" s="41"/>
      <c r="CV50" s="41"/>
      <c r="CW50" s="41"/>
      <c r="CX50" s="41"/>
      <c r="CY50" s="41"/>
      <c r="CZ50" s="41"/>
      <c r="DA50" s="41"/>
      <c r="DB50" s="41"/>
      <c r="DC50" s="41"/>
      <c r="DD50" s="41"/>
      <c r="DE50" s="41"/>
      <c r="DF50" s="41"/>
      <c r="DG50" s="41"/>
      <c r="DH50" s="41"/>
      <c r="DI50" s="41"/>
      <c r="DJ50" s="41"/>
      <c r="DK50" s="41"/>
      <c r="DL50" s="41"/>
      <c r="DM50" s="41"/>
      <c r="DN50" s="41"/>
      <c r="DO50" s="41"/>
      <c r="DP50" s="41"/>
      <c r="DQ50" s="41"/>
      <c r="DR50" s="41"/>
      <c r="DS50" s="41"/>
      <c r="DT50" s="41"/>
      <c r="DU50" s="41"/>
      <c r="DV50" s="41"/>
      <c r="DW50" s="41"/>
      <c r="DX50" s="41"/>
      <c r="DY50" s="41"/>
      <c r="DZ50" s="41"/>
      <c r="EA50" s="41"/>
      <c r="EB50" s="41"/>
      <c r="EC50" s="41"/>
      <c r="ED50" s="41"/>
      <c r="EE50" s="41"/>
      <c r="EF50" s="41"/>
      <c r="EG50" s="41"/>
      <c r="EH50" s="41"/>
      <c r="EI50" s="41"/>
      <c r="EJ50" s="41"/>
      <c r="EK50" s="41"/>
      <c r="EL50" s="41"/>
      <c r="EM50" s="41"/>
      <c r="EN50" s="41"/>
      <c r="EO50" s="41"/>
      <c r="EP50" s="41"/>
      <c r="EQ50" s="41"/>
    </row>
    <row r="51" spans="1:147" ht="15.6" x14ac:dyDescent="0.3">
      <c r="A51" s="14" t="s">
        <v>17</v>
      </c>
      <c r="G51" s="9">
        <f>G40+G48</f>
        <v>0</v>
      </c>
      <c r="H51" s="9">
        <f>H40+H48</f>
        <v>0</v>
      </c>
      <c r="I51" s="31"/>
      <c r="J51" s="36">
        <f>J40</f>
        <v>0</v>
      </c>
      <c r="K51" s="209"/>
      <c r="L51" s="209">
        <f>L50+L40</f>
        <v>0</v>
      </c>
      <c r="M51" s="36">
        <f>M40</f>
        <v>0</v>
      </c>
      <c r="N51" s="33"/>
      <c r="O51" s="209">
        <f>O40+O50</f>
        <v>0</v>
      </c>
      <c r="P51" s="36">
        <f>P40</f>
        <v>0</v>
      </c>
      <c r="Q51" s="15">
        <f>IF(ISBLANK(A51),"",IF(O51&gt;0,P51/O51,0))</f>
        <v>0</v>
      </c>
      <c r="R51" s="8">
        <f>IF(ISBLANK(A51),"",IF(J51&gt;0,1-O51/J51,1))</f>
        <v>1</v>
      </c>
    </row>
    <row r="52" spans="1:147" ht="4.5" customHeight="1" thickBot="1" x14ac:dyDescent="0.35">
      <c r="I52" s="31"/>
      <c r="J52" s="36"/>
      <c r="K52" s="209"/>
      <c r="L52" s="209"/>
      <c r="M52" s="36"/>
      <c r="O52" s="209"/>
      <c r="P52" s="36"/>
    </row>
    <row r="53" spans="1:147" ht="15.75" customHeight="1" thickBot="1" x14ac:dyDescent="0.35">
      <c r="A53" s="64" t="s">
        <v>62</v>
      </c>
      <c r="B53" s="65"/>
      <c r="C53" s="65"/>
      <c r="D53" s="65"/>
      <c r="E53" s="65"/>
      <c r="F53" s="65"/>
      <c r="G53" s="66"/>
      <c r="H53" s="122"/>
      <c r="I53" s="67"/>
      <c r="J53" s="68"/>
      <c r="K53" s="216"/>
      <c r="L53" s="216"/>
      <c r="M53" s="68"/>
      <c r="N53" s="67"/>
      <c r="O53" s="222">
        <f>O51</f>
        <v>0</v>
      </c>
      <c r="P53" s="44">
        <f>O53-L51</f>
        <v>0</v>
      </c>
      <c r="Q53" s="45">
        <f>IF(ISBLANK(A53),"",IF(O53&gt;0,P53/O53,0))</f>
        <v>0</v>
      </c>
      <c r="R53" s="46">
        <f>IF(ISBLANK(A53),"",IF(J53&gt;0,1-O53/J53,1))</f>
        <v>1</v>
      </c>
    </row>
    <row r="54" spans="1:147" ht="6" customHeight="1" x14ac:dyDescent="0.3">
      <c r="I54" s="31"/>
      <c r="J54" s="36"/>
      <c r="K54" s="209"/>
      <c r="L54" s="209"/>
      <c r="M54" s="36"/>
      <c r="O54" s="209"/>
      <c r="P54" s="36"/>
    </row>
    <row r="55" spans="1:147" outlineLevel="1" x14ac:dyDescent="0.3">
      <c r="A55" s="2" t="str">
        <f>IF($B$8="Estimate","Low Estimate","")</f>
        <v/>
      </c>
      <c r="G55" s="9">
        <f>G51*(1-$F$8)</f>
        <v>0</v>
      </c>
      <c r="H55" s="9">
        <f>H51*(1-$F$8)</f>
        <v>0</v>
      </c>
      <c r="I55" s="31"/>
      <c r="J55" s="36">
        <f>J51*(1-$F$8)</f>
        <v>0</v>
      </c>
      <c r="K55" s="209"/>
      <c r="L55" s="209">
        <f>L51*(1-$F$8)</f>
        <v>0</v>
      </c>
      <c r="M55" s="36">
        <f>M51*(1-$F$8)</f>
        <v>0</v>
      </c>
      <c r="N55" s="50"/>
      <c r="O55" s="209">
        <f>O51*(1-$F$8)</f>
        <v>0</v>
      </c>
      <c r="P55" s="36">
        <f>P51*(1-$F$8)</f>
        <v>0</v>
      </c>
      <c r="Q55" s="15">
        <f>IF(ISBLANK(A55),"",IF(O55&gt;0,P55/O55,0))</f>
        <v>0</v>
      </c>
      <c r="R55" s="8"/>
    </row>
    <row r="56" spans="1:147" outlineLevel="1" x14ac:dyDescent="0.3">
      <c r="A56" s="2" t="str">
        <f>IF($B$8="Estimate","High Estimate","")</f>
        <v/>
      </c>
      <c r="G56" s="9">
        <f>G51*(1+$F$9)</f>
        <v>0</v>
      </c>
      <c r="H56" s="9">
        <f>H51*(1+$F$9)</f>
        <v>0</v>
      </c>
      <c r="I56" s="31"/>
      <c r="J56" s="36">
        <f>J51*(1+$F$9)</f>
        <v>0</v>
      </c>
      <c r="K56" s="209"/>
      <c r="L56" s="209">
        <f>L51*(1+$F$9)</f>
        <v>0</v>
      </c>
      <c r="M56" s="36">
        <f>M51*(1+$F$9)</f>
        <v>0</v>
      </c>
      <c r="N56" s="50"/>
      <c r="O56" s="209">
        <f>O51*(1+$F$9)</f>
        <v>0</v>
      </c>
      <c r="P56" s="36">
        <f>P51*(1+$F$9)</f>
        <v>0</v>
      </c>
      <c r="Q56" s="15">
        <f>IF(ISBLANK(A56),"",IF(O56&gt;0,P56/O56,0))</f>
        <v>0</v>
      </c>
      <c r="R56" s="8"/>
    </row>
    <row r="57" spans="1:147" x14ac:dyDescent="0.3">
      <c r="I57" s="31"/>
    </row>
  </sheetData>
  <sheetProtection sheet="1" objects="1" scenarios="1" insertRows="0" sort="0" autoFilter="0" pivotTables="0"/>
  <mergeCells count="1">
    <mergeCell ref="A24:B24"/>
  </mergeCells>
  <dataValidations count="12">
    <dataValidation type="decimal" allowBlank="1" showInputMessage="1" showErrorMessage="1" sqref="F43">
      <formula1>0</formula1>
      <formula2>1</formula2>
    </dataValidation>
    <dataValidation type="list" showInputMessage="1" showErrorMessage="1" sqref="C8">
      <formula1>"Quote, Estimate, SELECT ONE"</formula1>
    </dataValidation>
    <dataValidation type="list" showInputMessage="1" showErrorMessage="1" sqref="C4">
      <formula1>"T&amp;M, Fixed Price, SELECT ONE"</formula1>
    </dataValidation>
    <dataValidation type="date" operator="greaterThan" allowBlank="1" showInputMessage="1" showErrorMessage="1" sqref="E43:E44 E14:E23 E28">
      <formula1>38353</formula1>
    </dataValidation>
    <dataValidation type="decimal" allowBlank="1" showInputMessage="1" showErrorMessage="1" sqref="F28:F34">
      <formula1>0</formula1>
      <formula2>5</formula2>
    </dataValidation>
    <dataValidation type="whole" showInputMessage="1" showErrorMessage="1" sqref="B9:C9">
      <formula1>8</formula1>
      <formula2>9</formula2>
    </dataValidation>
    <dataValidation type="date" operator="greaterThanOrEqual" allowBlank="1" showInputMessage="1" showErrorMessage="1" sqref="D43:D44 D14:D23 D29:E34 D28 D45:E47">
      <formula1>38353</formula1>
    </dataValidation>
    <dataValidation type="list" showInputMessage="1" showErrorMessage="1" sqref="B10">
      <formula1>"SELECT ONE, APAC, EU, NA"</formula1>
    </dataValidation>
    <dataValidation type="list" allowBlank="1" showInputMessage="1" showErrorMessage="1" sqref="B4">
      <formula1>"T&amp;M, Fixed Price, SELECT ONE"</formula1>
    </dataValidation>
    <dataValidation type="list" allowBlank="1" showInputMessage="1" showErrorMessage="1" sqref="B8">
      <formula1>"Quote, Estimate, Select One"</formula1>
    </dataValidation>
    <dataValidation type="list" allowBlank="1" showInputMessage="1" showErrorMessage="1" sqref="C14:C23">
      <formula1>"APAC, EU, NA, SELECT ONE, ERROR"</formula1>
    </dataValidation>
    <dataValidation type="decimal" allowBlank="1" showInputMessage="1" showErrorMessage="1" sqref="F14:F23">
      <formula1>0</formula1>
      <formula2>9</formula2>
    </dataValidation>
  </dataValidations>
  <pageMargins left="0.75" right="0.75" top="1" bottom="1" header="0.5" footer="0.5"/>
  <pageSetup scale="57" fitToHeight="5" orientation="landscape"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gsrates!$A$60:$A$96</xm:f>
          </x14:formula1>
          <xm:sqref>A14:A23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A1:EQ57"/>
  <sheetViews>
    <sheetView workbookViewId="0">
      <pane xSplit="2" ySplit="13" topLeftCell="C14" activePane="bottomRight" state="frozen"/>
      <selection activeCell="A5" sqref="A5:B10"/>
      <selection pane="topRight" activeCell="A5" sqref="A5:B10"/>
      <selection pane="bottomLeft" activeCell="A5" sqref="A5:B10"/>
      <selection pane="bottomRight" activeCell="B6" sqref="B6"/>
    </sheetView>
  </sheetViews>
  <sheetFormatPr defaultColWidth="9.33203125" defaultRowHeight="13.8" outlineLevelRow="1" x14ac:dyDescent="0.3"/>
  <cols>
    <col min="1" max="1" width="30.33203125" style="2" customWidth="1"/>
    <col min="2" max="2" width="15.109375" style="2" bestFit="1" customWidth="1"/>
    <col min="3" max="3" width="15.109375" style="2" hidden="1" customWidth="1"/>
    <col min="4" max="4" width="10.44140625" style="2" customWidth="1"/>
    <col min="5" max="5" width="10.6640625" style="2" customWidth="1"/>
    <col min="6" max="6" width="13" style="2" bestFit="1" customWidth="1"/>
    <col min="7" max="7" width="11" style="2" bestFit="1" customWidth="1"/>
    <col min="8" max="8" width="11" style="116" customWidth="1"/>
    <col min="9" max="9" width="12.77734375" style="2" customWidth="1"/>
    <col min="10" max="10" width="15" style="2" bestFit="1" customWidth="1"/>
    <col min="11" max="11" width="12.33203125" style="203" customWidth="1"/>
    <col min="12" max="12" width="11.44140625" style="203" customWidth="1"/>
    <col min="13" max="13" width="11.44140625" style="2" customWidth="1"/>
    <col min="14" max="14" width="10.77734375" style="31" customWidth="1"/>
    <col min="15" max="15" width="14.33203125" style="203" customWidth="1"/>
    <col min="16" max="16" width="11.44140625" style="2" customWidth="1"/>
    <col min="17" max="17" width="10" style="2" customWidth="1"/>
    <col min="18" max="18" width="11.109375" style="2" customWidth="1"/>
    <col min="19" max="19" width="9.33203125" style="2"/>
    <col min="20" max="20" width="9.33203125" style="41" hidden="1" customWidth="1"/>
    <col min="21" max="21" width="9.33203125" style="41"/>
    <col min="22" max="22" width="27.6640625" style="41" bestFit="1" customWidth="1"/>
    <col min="23" max="23" width="12.109375" style="41" customWidth="1"/>
    <col min="24" max="24" width="28.109375" style="41" hidden="1" customWidth="1"/>
    <col min="25" max="147" width="9.33203125" style="41"/>
    <col min="148" max="16384" width="9.33203125" style="2"/>
  </cols>
  <sheetData>
    <row r="1" spans="1:147" x14ac:dyDescent="0.3">
      <c r="A1" s="2" t="s">
        <v>0</v>
      </c>
      <c r="B1" s="139" t="str">
        <f>IF(ISBLANK(Summary!B1)," ",Summary!B1)</f>
        <v>&lt;Enter Account Name&gt;</v>
      </c>
      <c r="C1" s="141"/>
    </row>
    <row r="2" spans="1:147" x14ac:dyDescent="0.3">
      <c r="A2" s="2" t="s">
        <v>164</v>
      </c>
      <c r="B2" s="139" t="str">
        <f>IF(ISBLANK(Summary!B3)," ",Summary!B3)</f>
        <v>NEW ECR</v>
      </c>
      <c r="C2" s="141"/>
      <c r="V2" s="42"/>
      <c r="X2" s="41" t="s">
        <v>99</v>
      </c>
    </row>
    <row r="3" spans="1:147" x14ac:dyDescent="0.3">
      <c r="A3" s="2" t="s">
        <v>2</v>
      </c>
      <c r="B3" s="2" t="s">
        <v>78</v>
      </c>
      <c r="C3" s="127"/>
      <c r="G3" s="127"/>
      <c r="H3" s="223"/>
      <c r="I3" s="127"/>
      <c r="J3" s="127"/>
      <c r="V3" s="42"/>
      <c r="X3" s="41" t="s">
        <v>100</v>
      </c>
    </row>
    <row r="4" spans="1:147" x14ac:dyDescent="0.3">
      <c r="A4" s="2" t="s">
        <v>3</v>
      </c>
      <c r="B4" s="139" t="str">
        <f>IF(ISBLANK(Summary!B5)," ",Summary!B5)</f>
        <v>Fixed Price</v>
      </c>
      <c r="C4" s="142"/>
      <c r="V4" s="42"/>
      <c r="X4" s="41" t="s">
        <v>169</v>
      </c>
    </row>
    <row r="5" spans="1:147" x14ac:dyDescent="0.3">
      <c r="A5" s="2" t="s">
        <v>150</v>
      </c>
      <c r="B5" s="99" t="str">
        <f>IF(ISBLANK(Summary!B6),"ADD on SUMMARY tab",Summary!B6)</f>
        <v>NA</v>
      </c>
      <c r="C5" s="99"/>
      <c r="G5" s="125" t="str">
        <f>IF(AND(O51&gt;0,O53=0),"Enter Total Price in N43"," ")</f>
        <v xml:space="preserve"> </v>
      </c>
      <c r="V5" s="42"/>
      <c r="X5" s="41" t="s">
        <v>101</v>
      </c>
    </row>
    <row r="6" spans="1:147" x14ac:dyDescent="0.3">
      <c r="A6" s="2" t="s">
        <v>4</v>
      </c>
      <c r="B6" s="88"/>
      <c r="C6" s="143"/>
      <c r="D6" s="4" t="str">
        <f>IF(B6&gt;MIN(D14:D34),"Staffing Starts before this date!",IF(B6&lt;MIN(D14:D34),"No staffing on start date!",""))</f>
        <v/>
      </c>
      <c r="E6"/>
      <c r="F6"/>
      <c r="G6"/>
      <c r="H6" s="117"/>
      <c r="I6"/>
      <c r="J6"/>
      <c r="K6" s="204"/>
      <c r="L6" s="204"/>
      <c r="M6"/>
      <c r="N6" s="50"/>
      <c r="O6" s="204"/>
      <c r="V6" s="42"/>
      <c r="X6" s="41" t="s">
        <v>102</v>
      </c>
    </row>
    <row r="7" spans="1:147" x14ac:dyDescent="0.3">
      <c r="A7" s="2" t="s">
        <v>5</v>
      </c>
      <c r="B7" s="88">
        <f>MAX(E14:E23)</f>
        <v>0</v>
      </c>
      <c r="C7" s="143"/>
      <c r="D7" s="4" t="str">
        <f>IF(B7&gt;MAX(E14:E34),"Staffing ends before project end date!",IF(B7&lt;MAX(E14:E34),"Staffing continues after end date!",""))</f>
        <v/>
      </c>
      <c r="E7"/>
      <c r="F7"/>
      <c r="G7"/>
      <c r="H7" s="117"/>
      <c r="I7"/>
      <c r="J7"/>
      <c r="K7" s="204"/>
      <c r="L7" s="204"/>
      <c r="M7"/>
      <c r="N7" s="50"/>
      <c r="O7" s="204"/>
      <c r="V7" s="42"/>
      <c r="X7" s="41" t="s">
        <v>103</v>
      </c>
    </row>
    <row r="8" spans="1:147" x14ac:dyDescent="0.3">
      <c r="A8" s="2" t="s">
        <v>6</v>
      </c>
      <c r="B8" s="139" t="str">
        <f>IF(ISBLANK(Summary!B9)," ",Summary!B9)</f>
        <v>Quote</v>
      </c>
      <c r="C8" s="142"/>
      <c r="E8" s="2" t="s">
        <v>160</v>
      </c>
      <c r="F8" s="89">
        <v>0.05</v>
      </c>
      <c r="V8" s="42"/>
      <c r="X8" s="41" t="s">
        <v>151</v>
      </c>
    </row>
    <row r="9" spans="1:147" x14ac:dyDescent="0.3">
      <c r="A9" s="2" t="s">
        <v>84</v>
      </c>
      <c r="B9" s="126">
        <v>8</v>
      </c>
      <c r="C9" s="144"/>
      <c r="E9" s="2" t="s">
        <v>159</v>
      </c>
      <c r="F9" s="89">
        <v>0.2</v>
      </c>
      <c r="V9" s="42"/>
      <c r="X9" s="41" t="s">
        <v>170</v>
      </c>
    </row>
    <row r="10" spans="1:147" x14ac:dyDescent="0.3">
      <c r="A10" s="2" t="s">
        <v>72</v>
      </c>
      <c r="B10" s="154" t="str">
        <f>IF(ISBLANK(Summary!B14),"SELECT ONE",Summary!B14)</f>
        <v>USD</v>
      </c>
      <c r="X10" s="41" t="s">
        <v>104</v>
      </c>
    </row>
    <row r="11" spans="1:147" x14ac:dyDescent="0.3">
      <c r="X11" s="41" t="s">
        <v>105</v>
      </c>
    </row>
    <row r="12" spans="1:147" x14ac:dyDescent="0.3">
      <c r="A12" s="3"/>
      <c r="B12" s="3"/>
      <c r="C12" s="3"/>
      <c r="D12" s="5"/>
      <c r="E12" s="5"/>
      <c r="F12" s="5"/>
      <c r="G12" s="6"/>
      <c r="H12" s="118"/>
      <c r="I12" s="6"/>
      <c r="J12" s="6"/>
      <c r="K12" s="205"/>
      <c r="L12" s="205"/>
      <c r="M12" s="6"/>
      <c r="N12" s="34" t="s">
        <v>85</v>
      </c>
      <c r="O12" s="205"/>
      <c r="P12" s="6"/>
      <c r="Q12" s="6"/>
      <c r="R12" s="6"/>
      <c r="X12" s="41" t="s">
        <v>106</v>
      </c>
    </row>
    <row r="13" spans="1:147" s="3" customFormat="1" x14ac:dyDescent="0.3">
      <c r="A13" s="12" t="s">
        <v>54</v>
      </c>
      <c r="B13" s="12" t="s">
        <v>55</v>
      </c>
      <c r="C13" s="12" t="s">
        <v>96</v>
      </c>
      <c r="D13" s="13" t="s">
        <v>56</v>
      </c>
      <c r="E13" s="13" t="s">
        <v>57</v>
      </c>
      <c r="F13" s="13" t="s">
        <v>7</v>
      </c>
      <c r="G13" s="13" t="s">
        <v>20</v>
      </c>
      <c r="H13" s="119" t="s">
        <v>83</v>
      </c>
      <c r="I13" s="35" t="s">
        <v>10</v>
      </c>
      <c r="J13" s="13" t="s">
        <v>58</v>
      </c>
      <c r="K13" s="206" t="s">
        <v>59</v>
      </c>
      <c r="L13" s="217" t="s">
        <v>31</v>
      </c>
      <c r="M13" s="13" t="s">
        <v>21</v>
      </c>
      <c r="N13" s="35" t="s">
        <v>22</v>
      </c>
      <c r="O13" s="217" t="s">
        <v>60</v>
      </c>
      <c r="P13" s="13" t="s">
        <v>32</v>
      </c>
      <c r="Q13" s="13" t="s">
        <v>23</v>
      </c>
      <c r="R13" s="13" t="s">
        <v>24</v>
      </c>
      <c r="T13" s="43"/>
      <c r="U13" s="43"/>
      <c r="V13" s="43"/>
      <c r="W13" s="43"/>
      <c r="X13" s="41" t="s">
        <v>143</v>
      </c>
      <c r="Y13" s="43"/>
      <c r="Z13" s="43"/>
      <c r="AA13" s="43"/>
      <c r="AB13" s="43"/>
      <c r="AC13" s="43"/>
      <c r="AD13" s="43"/>
      <c r="AE13" s="43"/>
      <c r="AF13" s="43"/>
      <c r="AG13" s="43"/>
      <c r="AH13" s="43"/>
      <c r="AI13" s="43"/>
      <c r="AJ13" s="43"/>
      <c r="AK13" s="43"/>
      <c r="AL13" s="43"/>
      <c r="AM13" s="43"/>
      <c r="AN13" s="43"/>
      <c r="AO13" s="43"/>
      <c r="AP13" s="43"/>
      <c r="AQ13" s="43"/>
      <c r="AR13" s="43"/>
      <c r="AS13" s="43"/>
      <c r="AT13" s="43"/>
      <c r="AU13" s="43"/>
      <c r="AV13" s="43"/>
      <c r="AW13" s="43"/>
      <c r="AX13" s="43"/>
      <c r="AY13" s="43"/>
      <c r="AZ13" s="43"/>
      <c r="BA13" s="43"/>
      <c r="BB13" s="43"/>
      <c r="BC13" s="43"/>
      <c r="BD13" s="43"/>
      <c r="BE13" s="43"/>
      <c r="BF13" s="43"/>
      <c r="BG13" s="43"/>
      <c r="BH13" s="43"/>
      <c r="BI13" s="43"/>
      <c r="BJ13" s="43"/>
      <c r="BK13" s="43"/>
      <c r="BL13" s="43"/>
      <c r="BM13" s="43"/>
      <c r="BN13" s="43"/>
      <c r="BO13" s="43"/>
      <c r="BP13" s="43"/>
      <c r="BQ13" s="43"/>
      <c r="BR13" s="43"/>
      <c r="BS13" s="43"/>
      <c r="BT13" s="43"/>
      <c r="BU13" s="43"/>
      <c r="BV13" s="43"/>
      <c r="BW13" s="43"/>
      <c r="BX13" s="43"/>
      <c r="BY13" s="43"/>
      <c r="BZ13" s="43"/>
      <c r="CA13" s="43"/>
      <c r="CB13" s="43"/>
      <c r="CC13" s="43"/>
      <c r="CD13" s="43"/>
      <c r="CE13" s="43"/>
      <c r="CF13" s="43"/>
      <c r="CG13" s="43"/>
      <c r="CH13" s="43"/>
      <c r="CI13" s="43"/>
      <c r="CJ13" s="43"/>
      <c r="CK13" s="43"/>
      <c r="CL13" s="43"/>
      <c r="CM13" s="43"/>
      <c r="CN13" s="43"/>
      <c r="CO13" s="43"/>
      <c r="CP13" s="43"/>
      <c r="CQ13" s="43"/>
      <c r="CR13" s="43"/>
      <c r="CS13" s="43"/>
      <c r="CT13" s="43"/>
      <c r="CU13" s="43"/>
      <c r="CV13" s="43"/>
      <c r="CW13" s="43"/>
      <c r="CX13" s="43"/>
      <c r="CY13" s="43"/>
      <c r="CZ13" s="43"/>
      <c r="DA13" s="43"/>
      <c r="DB13" s="43"/>
      <c r="DC13" s="43"/>
      <c r="DD13" s="43"/>
      <c r="DE13" s="43"/>
      <c r="DF13" s="43"/>
      <c r="DG13" s="43"/>
      <c r="DH13" s="43"/>
      <c r="DI13" s="43"/>
      <c r="DJ13" s="43"/>
      <c r="DK13" s="43"/>
      <c r="DL13" s="43"/>
      <c r="DM13" s="43"/>
      <c r="DN13" s="43"/>
      <c r="DO13" s="43"/>
      <c r="DP13" s="43"/>
      <c r="DQ13" s="43"/>
      <c r="DR13" s="43"/>
      <c r="DS13" s="43"/>
      <c r="DT13" s="43"/>
      <c r="DU13" s="43"/>
      <c r="DV13" s="43"/>
      <c r="DW13" s="43"/>
      <c r="DX13" s="43"/>
      <c r="DY13" s="43"/>
      <c r="DZ13" s="43"/>
      <c r="EA13" s="43"/>
      <c r="EB13" s="43"/>
      <c r="EC13" s="43"/>
      <c r="ED13" s="43"/>
      <c r="EE13" s="43"/>
      <c r="EF13" s="43"/>
      <c r="EG13" s="43"/>
      <c r="EH13" s="43"/>
      <c r="EI13" s="43"/>
      <c r="EJ13" s="43"/>
      <c r="EK13" s="43"/>
      <c r="EL13" s="43"/>
      <c r="EM13" s="43"/>
      <c r="EN13" s="43"/>
      <c r="EO13" s="43"/>
      <c r="EP13" s="43"/>
      <c r="EQ13" s="43"/>
    </row>
    <row r="14" spans="1:147" outlineLevel="1" x14ac:dyDescent="0.3">
      <c r="A14" s="160" t="s">
        <v>99</v>
      </c>
      <c r="B14" s="160"/>
      <c r="C14" s="87"/>
      <c r="D14" s="161"/>
      <c r="E14" s="161"/>
      <c r="F14" s="162">
        <v>0.1</v>
      </c>
      <c r="G14" s="163">
        <f t="shared" ref="G14:G23" si="0">IF(ISBLANK(A14),"",NETWORKDAYS(D14,E14)*F14)</f>
        <v>0</v>
      </c>
      <c r="H14" s="164">
        <f t="shared" ref="H14:H23" si="1">IF(ISBLANK(A14),"",G14*$B$9)</f>
        <v>0</v>
      </c>
      <c r="I14" s="176">
        <f>IF(ISBLANK(A14),"",VLOOKUP(A14,gsrates!$A$3:$AK$38,VLOOKUP($B$5,gsrates!$A$41:$C$58,2,FALSE),FALSE))</f>
        <v>330</v>
      </c>
      <c r="J14" s="80">
        <f t="shared" ref="J14:J23" si="2">IF(ISBLANK(A14),"",H14*I14)</f>
        <v>0</v>
      </c>
      <c r="K14" s="207">
        <f>IF(ISBLANK(A14),"",VLOOKUP(A14,gsrates!$A$3:$AK$38,VLOOKUP($B$5,gsrates!$A$41:$C$58,3,FALSE),FALSE))</f>
        <v>162</v>
      </c>
      <c r="L14" s="207">
        <f t="shared" ref="L14:L23" si="3">IF(ISBLANK(A14),"",K14*G14*8)</f>
        <v>0</v>
      </c>
      <c r="M14" s="80">
        <f t="shared" ref="M14:M23" si="4">IF(ISBLANK(A14),"",J14-L14)</f>
        <v>0</v>
      </c>
      <c r="N14" s="177">
        <v>0</v>
      </c>
      <c r="O14" s="207">
        <f t="shared" ref="O14:O23" si="5">IF(ISBLANK(A14),"",G14*N14*$B$9)</f>
        <v>0</v>
      </c>
      <c r="P14" s="80">
        <f t="shared" ref="P14:P23" si="6">IF(ISBLANK(A14),"",O14-L14)</f>
        <v>0</v>
      </c>
      <c r="Q14" s="155" t="e">
        <f t="shared" ref="Q14:Q23" si="7">IF(ISBLANK(A14),"",P14/O14)</f>
        <v>#DIV/0!</v>
      </c>
      <c r="R14" s="166" t="e">
        <f t="shared" ref="R14:R23" si="8">IF(ISBLANK(A14),"",1-O14/J14)</f>
        <v>#DIV/0!</v>
      </c>
      <c r="S14" s="373">
        <f>IF(ISBLANK(A14),"",VLOOKUP(A14,gsrates!$A$3:$AL$38,38,FALSE))</f>
        <v>0</v>
      </c>
      <c r="T14" s="41" t="str">
        <f t="shared" ref="T14:T23" si="9">IF(ISBLANK(A14),"",CONCATENATE(C14,"-",$B$5))</f>
        <v>-NA</v>
      </c>
      <c r="U14" s="388">
        <f>IF(S14=1,H14,0)</f>
        <v>0</v>
      </c>
      <c r="X14" s="41" t="s">
        <v>162</v>
      </c>
    </row>
    <row r="15" spans="1:147" outlineLevel="1" x14ac:dyDescent="0.3">
      <c r="A15" s="160"/>
      <c r="B15" s="160"/>
      <c r="C15" s="87"/>
      <c r="D15" s="161"/>
      <c r="E15" s="161"/>
      <c r="F15" s="162"/>
      <c r="G15" s="163" t="str">
        <f t="shared" si="0"/>
        <v/>
      </c>
      <c r="H15" s="164" t="str">
        <f t="shared" si="1"/>
        <v/>
      </c>
      <c r="I15" s="176" t="str">
        <f>IF(ISBLANK(A15),"",VLOOKUP(A15,gsrates!$A$3:$AK$38,VLOOKUP($B$5,gsrates!$A$41:$C$58,2,FALSE),FALSE))</f>
        <v/>
      </c>
      <c r="J15" s="80" t="str">
        <f t="shared" si="2"/>
        <v/>
      </c>
      <c r="K15" s="207" t="str">
        <f>IF(ISBLANK(A15),"",VLOOKUP(A15,gsrates!$A$3:$AK$38,VLOOKUP($B$5,gsrates!$A$41:$C$58,3,FALSE),FALSE))</f>
        <v/>
      </c>
      <c r="L15" s="207" t="str">
        <f t="shared" si="3"/>
        <v/>
      </c>
      <c r="M15" s="80" t="str">
        <f t="shared" si="4"/>
        <v/>
      </c>
      <c r="N15" s="177">
        <v>0</v>
      </c>
      <c r="O15" s="207" t="str">
        <f t="shared" si="5"/>
        <v/>
      </c>
      <c r="P15" s="80" t="str">
        <f t="shared" si="6"/>
        <v/>
      </c>
      <c r="Q15" s="155" t="str">
        <f t="shared" si="7"/>
        <v/>
      </c>
      <c r="R15" s="166" t="str">
        <f t="shared" si="8"/>
        <v/>
      </c>
      <c r="S15" s="373" t="str">
        <f>IF(ISBLANK(A15),"",VLOOKUP(A15,gsrates!$A$3:$AL$38,38,FALSE))</f>
        <v/>
      </c>
      <c r="T15" s="41" t="str">
        <f t="shared" si="9"/>
        <v/>
      </c>
      <c r="U15" s="388">
        <f t="shared" ref="U15:U23" si="10">IF(S15=1,H15,0)</f>
        <v>0</v>
      </c>
    </row>
    <row r="16" spans="1:147" outlineLevel="1" x14ac:dyDescent="0.3">
      <c r="A16" s="160"/>
      <c r="B16" s="160"/>
      <c r="C16" s="87"/>
      <c r="D16" s="161"/>
      <c r="E16" s="161"/>
      <c r="F16" s="162"/>
      <c r="G16" s="163" t="str">
        <f t="shared" si="0"/>
        <v/>
      </c>
      <c r="H16" s="164" t="str">
        <f t="shared" si="1"/>
        <v/>
      </c>
      <c r="I16" s="176" t="str">
        <f>IF(ISBLANK(A16),"",VLOOKUP(A16,gsrates!$A$3:$AK$38,VLOOKUP($B$5,gsrates!$A$41:$C$58,2,FALSE),FALSE))</f>
        <v/>
      </c>
      <c r="J16" s="80" t="str">
        <f t="shared" si="2"/>
        <v/>
      </c>
      <c r="K16" s="207" t="str">
        <f>IF(ISBLANK(A16),"",VLOOKUP(A16,gsrates!$A$3:$AK$38,VLOOKUP($B$5,gsrates!$A$41:$C$58,3,FALSE),FALSE))</f>
        <v/>
      </c>
      <c r="L16" s="207" t="str">
        <f t="shared" si="3"/>
        <v/>
      </c>
      <c r="M16" s="80" t="str">
        <f t="shared" si="4"/>
        <v/>
      </c>
      <c r="N16" s="177">
        <v>0</v>
      </c>
      <c r="O16" s="207" t="str">
        <f t="shared" si="5"/>
        <v/>
      </c>
      <c r="P16" s="80" t="str">
        <f t="shared" si="6"/>
        <v/>
      </c>
      <c r="Q16" s="155" t="str">
        <f t="shared" si="7"/>
        <v/>
      </c>
      <c r="R16" s="166" t="str">
        <f t="shared" si="8"/>
        <v/>
      </c>
      <c r="S16" s="373" t="str">
        <f>IF(ISBLANK(A16),"",VLOOKUP(A16,gsrates!$A$3:$AL$38,38,FALSE))</f>
        <v/>
      </c>
      <c r="T16" s="41" t="str">
        <f t="shared" si="9"/>
        <v/>
      </c>
      <c r="U16" s="388">
        <f t="shared" si="10"/>
        <v>0</v>
      </c>
    </row>
    <row r="17" spans="1:147" outlineLevel="1" x14ac:dyDescent="0.3">
      <c r="A17" s="160"/>
      <c r="B17" s="160"/>
      <c r="C17" s="87"/>
      <c r="D17" s="161"/>
      <c r="E17" s="161"/>
      <c r="F17" s="162"/>
      <c r="G17" s="163" t="str">
        <f t="shared" si="0"/>
        <v/>
      </c>
      <c r="H17" s="164" t="str">
        <f t="shared" si="1"/>
        <v/>
      </c>
      <c r="I17" s="176" t="str">
        <f>IF(ISBLANK(A17),"",VLOOKUP(A17,gsrates!$A$3:$AK$38,VLOOKUP($B$5,gsrates!$A$41:$C$58,2,FALSE),FALSE))</f>
        <v/>
      </c>
      <c r="J17" s="80" t="str">
        <f t="shared" si="2"/>
        <v/>
      </c>
      <c r="K17" s="207" t="str">
        <f>IF(ISBLANK(A17),"",VLOOKUP(A17,gsrates!$A$3:$AK$38,VLOOKUP($B$5,gsrates!$A$41:$C$58,3,FALSE),FALSE))</f>
        <v/>
      </c>
      <c r="L17" s="207" t="str">
        <f t="shared" si="3"/>
        <v/>
      </c>
      <c r="M17" s="80" t="str">
        <f t="shared" si="4"/>
        <v/>
      </c>
      <c r="N17" s="177">
        <v>0</v>
      </c>
      <c r="O17" s="207" t="str">
        <f t="shared" si="5"/>
        <v/>
      </c>
      <c r="P17" s="80" t="str">
        <f t="shared" si="6"/>
        <v/>
      </c>
      <c r="Q17" s="155" t="str">
        <f t="shared" si="7"/>
        <v/>
      </c>
      <c r="R17" s="166" t="str">
        <f t="shared" si="8"/>
        <v/>
      </c>
      <c r="S17" s="373" t="str">
        <f>IF(ISBLANK(A17),"",VLOOKUP(A17,gsrates!$A$3:$AL$38,38,FALSE))</f>
        <v/>
      </c>
      <c r="T17" s="41" t="str">
        <f t="shared" si="9"/>
        <v/>
      </c>
      <c r="U17" s="388">
        <f t="shared" si="10"/>
        <v>0</v>
      </c>
    </row>
    <row r="18" spans="1:147" outlineLevel="1" x14ac:dyDescent="0.3">
      <c r="A18" s="160"/>
      <c r="B18" s="160"/>
      <c r="C18" s="87"/>
      <c r="D18" s="161"/>
      <c r="E18" s="161"/>
      <c r="F18" s="162"/>
      <c r="G18" s="163" t="str">
        <f t="shared" si="0"/>
        <v/>
      </c>
      <c r="H18" s="164" t="str">
        <f t="shared" si="1"/>
        <v/>
      </c>
      <c r="I18" s="176" t="str">
        <f>IF(ISBLANK(A18),"",VLOOKUP(A18,gsrates!$A$3:$AK$38,VLOOKUP($B$5,gsrates!$A$41:$C$58,2,FALSE),FALSE))</f>
        <v/>
      </c>
      <c r="J18" s="80" t="str">
        <f t="shared" si="2"/>
        <v/>
      </c>
      <c r="K18" s="207" t="str">
        <f>IF(ISBLANK(A18),"",VLOOKUP(A18,gsrates!$A$3:$AK$38,VLOOKUP($B$5,gsrates!$A$41:$C$58,3,FALSE),FALSE))</f>
        <v/>
      </c>
      <c r="L18" s="207" t="str">
        <f t="shared" si="3"/>
        <v/>
      </c>
      <c r="M18" s="80" t="str">
        <f t="shared" si="4"/>
        <v/>
      </c>
      <c r="N18" s="177">
        <v>0</v>
      </c>
      <c r="O18" s="207" t="str">
        <f t="shared" si="5"/>
        <v/>
      </c>
      <c r="P18" s="80" t="str">
        <f t="shared" si="6"/>
        <v/>
      </c>
      <c r="Q18" s="155" t="str">
        <f t="shared" si="7"/>
        <v/>
      </c>
      <c r="R18" s="166" t="str">
        <f t="shared" si="8"/>
        <v/>
      </c>
      <c r="S18" s="373" t="str">
        <f>IF(ISBLANK(A18),"",VLOOKUP(A18,gsrates!$A$3:$AL$38,38,FALSE))</f>
        <v/>
      </c>
      <c r="T18" s="41" t="str">
        <f t="shared" si="9"/>
        <v/>
      </c>
      <c r="U18" s="388">
        <f t="shared" si="10"/>
        <v>0</v>
      </c>
    </row>
    <row r="19" spans="1:147" outlineLevel="1" x14ac:dyDescent="0.3">
      <c r="A19" s="160"/>
      <c r="B19" s="160"/>
      <c r="C19" s="87"/>
      <c r="D19" s="161"/>
      <c r="E19" s="161"/>
      <c r="F19" s="162"/>
      <c r="G19" s="163" t="str">
        <f t="shared" si="0"/>
        <v/>
      </c>
      <c r="H19" s="164" t="str">
        <f t="shared" si="1"/>
        <v/>
      </c>
      <c r="I19" s="176" t="str">
        <f>IF(ISBLANK(A19),"",VLOOKUP(A19,gsrates!$A$3:$AK$38,VLOOKUP($B$5,gsrates!$A$41:$C$58,2,FALSE),FALSE))</f>
        <v/>
      </c>
      <c r="J19" s="80" t="str">
        <f t="shared" si="2"/>
        <v/>
      </c>
      <c r="K19" s="207" t="str">
        <f>IF(ISBLANK(A19),"",VLOOKUP(A19,gsrates!$A$3:$AK$38,VLOOKUP($B$5,gsrates!$A$41:$C$58,3,FALSE),FALSE))</f>
        <v/>
      </c>
      <c r="L19" s="207" t="str">
        <f t="shared" si="3"/>
        <v/>
      </c>
      <c r="M19" s="80" t="str">
        <f t="shared" si="4"/>
        <v/>
      </c>
      <c r="N19" s="177">
        <v>0</v>
      </c>
      <c r="O19" s="207" t="str">
        <f t="shared" si="5"/>
        <v/>
      </c>
      <c r="P19" s="80" t="str">
        <f t="shared" si="6"/>
        <v/>
      </c>
      <c r="Q19" s="155" t="str">
        <f t="shared" si="7"/>
        <v/>
      </c>
      <c r="R19" s="166" t="str">
        <f t="shared" si="8"/>
        <v/>
      </c>
      <c r="S19" s="373" t="str">
        <f>IF(ISBLANK(A19),"",VLOOKUP(A19,gsrates!$A$3:$AL$38,38,FALSE))</f>
        <v/>
      </c>
      <c r="T19" s="41" t="str">
        <f t="shared" si="9"/>
        <v/>
      </c>
      <c r="U19" s="388">
        <f t="shared" si="10"/>
        <v>0</v>
      </c>
    </row>
    <row r="20" spans="1:147" outlineLevel="1" x14ac:dyDescent="0.3">
      <c r="A20" s="160"/>
      <c r="B20" s="160"/>
      <c r="C20" s="87"/>
      <c r="D20" s="161"/>
      <c r="E20" s="161"/>
      <c r="F20" s="162"/>
      <c r="G20" s="163" t="str">
        <f t="shared" si="0"/>
        <v/>
      </c>
      <c r="H20" s="164" t="str">
        <f t="shared" si="1"/>
        <v/>
      </c>
      <c r="I20" s="176" t="str">
        <f>IF(ISBLANK(A20),"",VLOOKUP(A20,gsrates!$A$3:$AK$38,VLOOKUP($B$5,gsrates!$A$41:$C$58,2,FALSE),FALSE))</f>
        <v/>
      </c>
      <c r="J20" s="80" t="str">
        <f t="shared" si="2"/>
        <v/>
      </c>
      <c r="K20" s="207" t="str">
        <f>IF(ISBLANK(A20),"",VLOOKUP(A20,gsrates!$A$3:$AK$38,VLOOKUP($B$5,gsrates!$A$41:$C$58,3,FALSE),FALSE))</f>
        <v/>
      </c>
      <c r="L20" s="207" t="str">
        <f t="shared" si="3"/>
        <v/>
      </c>
      <c r="M20" s="80" t="str">
        <f t="shared" si="4"/>
        <v/>
      </c>
      <c r="N20" s="177">
        <v>0</v>
      </c>
      <c r="O20" s="207" t="str">
        <f t="shared" si="5"/>
        <v/>
      </c>
      <c r="P20" s="80" t="str">
        <f t="shared" si="6"/>
        <v/>
      </c>
      <c r="Q20" s="155" t="str">
        <f t="shared" si="7"/>
        <v/>
      </c>
      <c r="R20" s="166" t="str">
        <f t="shared" si="8"/>
        <v/>
      </c>
      <c r="S20" s="373" t="str">
        <f>IF(ISBLANK(A20),"",VLOOKUP(A20,gsrates!$A$3:$AL$38,38,FALSE))</f>
        <v/>
      </c>
      <c r="T20" s="41" t="str">
        <f t="shared" si="9"/>
        <v/>
      </c>
      <c r="U20" s="388">
        <f t="shared" si="10"/>
        <v>0</v>
      </c>
    </row>
    <row r="21" spans="1:147" outlineLevel="1" x14ac:dyDescent="0.3">
      <c r="A21" s="160"/>
      <c r="B21" s="160"/>
      <c r="C21" s="87"/>
      <c r="D21" s="161"/>
      <c r="E21" s="161"/>
      <c r="F21" s="162"/>
      <c r="G21" s="163" t="str">
        <f t="shared" si="0"/>
        <v/>
      </c>
      <c r="H21" s="164" t="str">
        <f t="shared" si="1"/>
        <v/>
      </c>
      <c r="I21" s="176" t="str">
        <f>IF(ISBLANK(A21),"",VLOOKUP(A21,gsrates!$A$3:$AK$38,VLOOKUP($B$5,gsrates!$A$41:$C$58,2,FALSE),FALSE))</f>
        <v/>
      </c>
      <c r="J21" s="80" t="str">
        <f t="shared" si="2"/>
        <v/>
      </c>
      <c r="K21" s="207" t="str">
        <f>IF(ISBLANK(A21),"",VLOOKUP(A21,gsrates!$A$3:$AK$38,VLOOKUP($B$5,gsrates!$A$41:$C$58,3,FALSE),FALSE))</f>
        <v/>
      </c>
      <c r="L21" s="207" t="str">
        <f t="shared" si="3"/>
        <v/>
      </c>
      <c r="M21" s="80" t="str">
        <f t="shared" si="4"/>
        <v/>
      </c>
      <c r="N21" s="177">
        <v>0</v>
      </c>
      <c r="O21" s="207" t="str">
        <f t="shared" si="5"/>
        <v/>
      </c>
      <c r="P21" s="80" t="str">
        <f t="shared" si="6"/>
        <v/>
      </c>
      <c r="Q21" s="155" t="str">
        <f t="shared" si="7"/>
        <v/>
      </c>
      <c r="R21" s="166" t="str">
        <f t="shared" si="8"/>
        <v/>
      </c>
      <c r="S21" s="373" t="str">
        <f>IF(ISBLANK(A21),"",VLOOKUP(A21,gsrates!$A$3:$AL$38,38,FALSE))</f>
        <v/>
      </c>
      <c r="T21" s="41" t="str">
        <f t="shared" si="9"/>
        <v/>
      </c>
      <c r="U21" s="388">
        <f t="shared" si="10"/>
        <v>0</v>
      </c>
    </row>
    <row r="22" spans="1:147" outlineLevel="1" x14ac:dyDescent="0.3">
      <c r="A22" s="160"/>
      <c r="B22" s="160"/>
      <c r="C22" s="87"/>
      <c r="D22" s="161"/>
      <c r="E22" s="161"/>
      <c r="F22" s="162"/>
      <c r="G22" s="163" t="str">
        <f t="shared" si="0"/>
        <v/>
      </c>
      <c r="H22" s="164" t="str">
        <f t="shared" si="1"/>
        <v/>
      </c>
      <c r="I22" s="176" t="str">
        <f>IF(ISBLANK(A22),"",VLOOKUP(A22,gsrates!$A$3:$AK$38,VLOOKUP($B$5,gsrates!$A$41:$C$58,2,FALSE),FALSE))</f>
        <v/>
      </c>
      <c r="J22" s="80" t="str">
        <f t="shared" si="2"/>
        <v/>
      </c>
      <c r="K22" s="207" t="str">
        <f>IF(ISBLANK(A22),"",VLOOKUP(A22,gsrates!$A$3:$AK$38,VLOOKUP($B$5,gsrates!$A$41:$C$58,3,FALSE),FALSE))</f>
        <v/>
      </c>
      <c r="L22" s="207" t="str">
        <f t="shared" si="3"/>
        <v/>
      </c>
      <c r="M22" s="80" t="str">
        <f t="shared" si="4"/>
        <v/>
      </c>
      <c r="N22" s="177">
        <v>0</v>
      </c>
      <c r="O22" s="207" t="str">
        <f t="shared" si="5"/>
        <v/>
      </c>
      <c r="P22" s="80" t="str">
        <f t="shared" si="6"/>
        <v/>
      </c>
      <c r="Q22" s="155" t="str">
        <f t="shared" si="7"/>
        <v/>
      </c>
      <c r="R22" s="166" t="str">
        <f t="shared" si="8"/>
        <v/>
      </c>
      <c r="S22" s="373" t="str">
        <f>IF(ISBLANK(A22),"",VLOOKUP(A22,gsrates!$A$3:$AL$38,38,FALSE))</f>
        <v/>
      </c>
      <c r="T22" s="41" t="str">
        <f t="shared" si="9"/>
        <v/>
      </c>
      <c r="U22" s="388">
        <f t="shared" si="10"/>
        <v>0</v>
      </c>
    </row>
    <row r="23" spans="1:147" s="11" customFormat="1" ht="14.4" outlineLevel="1" thickBot="1" x14ac:dyDescent="0.35">
      <c r="A23" s="167"/>
      <c r="B23" s="167"/>
      <c r="C23" s="167"/>
      <c r="D23" s="168"/>
      <c r="E23" s="168"/>
      <c r="F23" s="169"/>
      <c r="G23" s="170" t="str">
        <f t="shared" si="0"/>
        <v/>
      </c>
      <c r="H23" s="171" t="str">
        <f t="shared" si="1"/>
        <v/>
      </c>
      <c r="I23" s="178" t="str">
        <f>IF(ISBLANK(A23),"",VLOOKUP(A23,gsrates!$A$3:$AK$38,VLOOKUP($B$5,gsrates!$A$41:$C$58,2,FALSE),FALSE))</f>
        <v/>
      </c>
      <c r="J23" s="82" t="str">
        <f t="shared" si="2"/>
        <v/>
      </c>
      <c r="K23" s="208" t="str">
        <f>IF(ISBLANK(A23),"",VLOOKUP(A23,gsrates!$A$3:$AK$38,VLOOKUP($B$5,gsrates!$A$41:$C$58,3,FALSE),FALSE))</f>
        <v/>
      </c>
      <c r="L23" s="208" t="str">
        <f t="shared" si="3"/>
        <v/>
      </c>
      <c r="M23" s="82" t="str">
        <f t="shared" si="4"/>
        <v/>
      </c>
      <c r="N23" s="175">
        <v>0</v>
      </c>
      <c r="O23" s="208" t="str">
        <f t="shared" si="5"/>
        <v/>
      </c>
      <c r="P23" s="82" t="str">
        <f t="shared" si="6"/>
        <v/>
      </c>
      <c r="Q23" s="158" t="str">
        <f t="shared" si="7"/>
        <v/>
      </c>
      <c r="R23" s="173" t="str">
        <f t="shared" si="8"/>
        <v/>
      </c>
      <c r="S23" s="373" t="str">
        <f>IF(ISBLANK(A23),"",VLOOKUP(A23,gsrates!$A$3:$AL$38,38,FALSE))</f>
        <v/>
      </c>
      <c r="T23" s="41" t="str">
        <f t="shared" si="9"/>
        <v/>
      </c>
      <c r="U23" s="388">
        <f t="shared" si="10"/>
        <v>0</v>
      </c>
      <c r="V23" s="41"/>
      <c r="W23" s="41"/>
      <c r="X23" s="41"/>
      <c r="Y23" s="41"/>
      <c r="Z23" s="41"/>
      <c r="AA23" s="41"/>
      <c r="AB23" s="41"/>
      <c r="AC23" s="41"/>
      <c r="AD23" s="41"/>
      <c r="AE23" s="41"/>
      <c r="AF23" s="41"/>
      <c r="AG23" s="41"/>
      <c r="AH23" s="41"/>
      <c r="AI23" s="41"/>
      <c r="AJ23" s="41"/>
      <c r="AK23" s="41"/>
      <c r="AL23" s="41"/>
      <c r="AM23" s="41"/>
      <c r="AN23" s="41"/>
      <c r="AO23" s="41"/>
      <c r="AP23" s="41"/>
      <c r="AQ23" s="41"/>
      <c r="AR23" s="41"/>
      <c r="AS23" s="41"/>
      <c r="AT23" s="41"/>
      <c r="AU23" s="41"/>
      <c r="AV23" s="41"/>
      <c r="AW23" s="41"/>
      <c r="AX23" s="41"/>
      <c r="AY23" s="41"/>
      <c r="AZ23" s="41"/>
      <c r="BA23" s="41"/>
      <c r="BB23" s="41"/>
      <c r="BC23" s="41"/>
      <c r="BD23" s="41"/>
      <c r="BE23" s="41"/>
      <c r="BF23" s="41"/>
      <c r="BG23" s="41"/>
      <c r="BH23" s="41"/>
      <c r="BI23" s="41"/>
      <c r="BJ23" s="41"/>
      <c r="BK23" s="41"/>
      <c r="BL23" s="41"/>
      <c r="BM23" s="41"/>
      <c r="BN23" s="41"/>
      <c r="BO23" s="41"/>
      <c r="BP23" s="41"/>
      <c r="BQ23" s="41"/>
      <c r="BR23" s="41"/>
      <c r="BS23" s="41"/>
      <c r="BT23" s="41"/>
      <c r="BU23" s="41"/>
      <c r="BV23" s="41"/>
      <c r="BW23" s="41"/>
      <c r="BX23" s="41"/>
      <c r="BY23" s="41"/>
      <c r="BZ23" s="41"/>
      <c r="CA23" s="41"/>
      <c r="CB23" s="41"/>
      <c r="CC23" s="41"/>
      <c r="CD23" s="41"/>
      <c r="CE23" s="41"/>
      <c r="CF23" s="41"/>
      <c r="CG23" s="41"/>
      <c r="CH23" s="41"/>
      <c r="CI23" s="41"/>
      <c r="CJ23" s="41"/>
      <c r="CK23" s="41"/>
      <c r="CL23" s="41"/>
      <c r="CM23" s="41"/>
      <c r="CN23" s="41"/>
      <c r="CO23" s="41"/>
      <c r="CP23" s="41"/>
      <c r="CQ23" s="41"/>
      <c r="CR23" s="41"/>
      <c r="CS23" s="41"/>
      <c r="CT23" s="41"/>
      <c r="CU23" s="41"/>
      <c r="CV23" s="41"/>
      <c r="CW23" s="41"/>
      <c r="CX23" s="41"/>
      <c r="CY23" s="41"/>
      <c r="CZ23" s="41"/>
      <c r="DA23" s="41"/>
      <c r="DB23" s="41"/>
      <c r="DC23" s="41"/>
      <c r="DD23" s="41"/>
      <c r="DE23" s="41"/>
      <c r="DF23" s="41"/>
      <c r="DG23" s="41"/>
      <c r="DH23" s="41"/>
      <c r="DI23" s="41"/>
      <c r="DJ23" s="41"/>
      <c r="DK23" s="41"/>
      <c r="DL23" s="41"/>
      <c r="DM23" s="41"/>
      <c r="DN23" s="41"/>
      <c r="DO23" s="41"/>
      <c r="DP23" s="41"/>
      <c r="DQ23" s="41"/>
      <c r="DR23" s="41"/>
      <c r="DS23" s="41"/>
      <c r="DT23" s="41"/>
      <c r="DU23" s="41"/>
      <c r="DV23" s="41"/>
      <c r="DW23" s="41"/>
      <c r="DX23" s="41"/>
      <c r="DY23" s="41"/>
      <c r="DZ23" s="41"/>
      <c r="EA23" s="41"/>
      <c r="EB23" s="41"/>
      <c r="EC23" s="41"/>
      <c r="ED23" s="41"/>
      <c r="EE23" s="41"/>
      <c r="EF23" s="41"/>
      <c r="EG23" s="41"/>
      <c r="EH23" s="41"/>
      <c r="EI23" s="41"/>
      <c r="EJ23" s="41"/>
      <c r="EK23" s="41"/>
      <c r="EL23" s="41"/>
      <c r="EM23" s="41"/>
      <c r="EN23" s="41"/>
      <c r="EO23" s="41"/>
      <c r="EP23" s="41"/>
      <c r="EQ23" s="41"/>
    </row>
    <row r="24" spans="1:147" x14ac:dyDescent="0.3">
      <c r="A24" s="393" t="s">
        <v>11</v>
      </c>
      <c r="B24" s="393"/>
      <c r="C24" s="43"/>
      <c r="D24" s="7"/>
      <c r="E24" s="7"/>
      <c r="F24" s="8"/>
      <c r="G24" s="9">
        <f>SUM(G14:G23)</f>
        <v>0</v>
      </c>
      <c r="H24" s="9">
        <f>SUM(H14:H23)</f>
        <v>0</v>
      </c>
      <c r="I24" s="31"/>
      <c r="J24" s="36">
        <f>SUM(J14:J23)</f>
        <v>0</v>
      </c>
      <c r="K24" s="209"/>
      <c r="L24" s="209">
        <f>SUM(L14:L23)</f>
        <v>0</v>
      </c>
      <c r="M24" s="36">
        <f>SUM(M14:M23)</f>
        <v>0</v>
      </c>
      <c r="N24" s="33"/>
      <c r="O24" s="209">
        <f>SUM(O14:O23)</f>
        <v>0</v>
      </c>
      <c r="P24" s="36">
        <f>SUM(P14:P23)</f>
        <v>0</v>
      </c>
      <c r="Q24" s="15" t="str">
        <f>IF(G24=0,"",P24/O24)</f>
        <v/>
      </c>
      <c r="R24" s="8" t="str">
        <f>IF(G24=0,"",1-O24/J24)</f>
        <v/>
      </c>
      <c r="S24" s="374">
        <f>SUM(S14:S23)</f>
        <v>0</v>
      </c>
      <c r="U24" s="374">
        <f>SUM(U14:U23)</f>
        <v>0</v>
      </c>
    </row>
    <row r="25" spans="1:147" x14ac:dyDescent="0.3">
      <c r="D25" s="7"/>
      <c r="E25" s="7"/>
      <c r="F25" s="8"/>
      <c r="G25" s="9"/>
      <c r="H25" s="9"/>
      <c r="I25" s="31"/>
      <c r="J25" s="36"/>
      <c r="K25" s="209"/>
      <c r="L25" s="209"/>
      <c r="M25" s="36"/>
      <c r="N25" s="33"/>
      <c r="O25" s="209"/>
      <c r="P25" s="36"/>
      <c r="Q25" s="10"/>
      <c r="R25" s="8"/>
    </row>
    <row r="26" spans="1:147" outlineLevel="1" x14ac:dyDescent="0.3">
      <c r="B26" s="3"/>
      <c r="C26" s="3"/>
      <c r="D26" s="5"/>
      <c r="E26" s="5"/>
      <c r="F26" s="5"/>
      <c r="G26" s="6"/>
      <c r="H26" s="118"/>
      <c r="I26" s="34"/>
      <c r="J26" s="38"/>
      <c r="K26" s="210"/>
      <c r="L26" s="210"/>
      <c r="M26" s="38"/>
      <c r="N26" s="34"/>
      <c r="O26" s="210"/>
      <c r="P26" s="38"/>
      <c r="Q26" s="6"/>
      <c r="R26" s="6"/>
    </row>
    <row r="27" spans="1:147" outlineLevel="1" x14ac:dyDescent="0.3">
      <c r="A27" s="12" t="s">
        <v>12</v>
      </c>
      <c r="B27" s="12" t="s">
        <v>55</v>
      </c>
      <c r="C27" s="12"/>
      <c r="D27" s="13" t="s">
        <v>56</v>
      </c>
      <c r="E27" s="13" t="s">
        <v>57</v>
      </c>
      <c r="F27" s="13" t="s">
        <v>7</v>
      </c>
      <c r="G27" s="13" t="s">
        <v>20</v>
      </c>
      <c r="H27" s="119" t="s">
        <v>83</v>
      </c>
      <c r="I27" s="40" t="s">
        <v>10</v>
      </c>
      <c r="J27" s="13" t="s">
        <v>58</v>
      </c>
      <c r="K27" s="206" t="s">
        <v>59</v>
      </c>
      <c r="L27" s="218" t="s">
        <v>31</v>
      </c>
      <c r="M27" s="39" t="s">
        <v>21</v>
      </c>
      <c r="N27" s="35" t="s">
        <v>22</v>
      </c>
      <c r="O27" s="218" t="s">
        <v>60</v>
      </c>
      <c r="P27" s="13" t="s">
        <v>32</v>
      </c>
      <c r="Q27" s="13" t="s">
        <v>23</v>
      </c>
      <c r="R27" s="13" t="s">
        <v>24</v>
      </c>
    </row>
    <row r="28" spans="1:147" outlineLevel="1" x14ac:dyDescent="0.3">
      <c r="A28" s="87"/>
      <c r="B28" s="87"/>
      <c r="C28" s="87"/>
      <c r="D28" s="88"/>
      <c r="E28" s="88"/>
      <c r="F28" s="162"/>
      <c r="G28" s="9" t="str">
        <f t="shared" ref="G28:G34" si="11">IF(ISBLANK(A28),"",NETWORKDAYS(D28,E28)*F28)</f>
        <v/>
      </c>
      <c r="H28" s="120" t="str">
        <f t="shared" ref="H28:H34" si="12">IF(ISBLANK(A28),"",G28*$B$9)</f>
        <v/>
      </c>
      <c r="I28" s="90"/>
      <c r="J28" s="36" t="str">
        <f t="shared" ref="J28:J34" si="13">IF(ISBLANK(A28),"",H28*I28)</f>
        <v/>
      </c>
      <c r="K28" s="211"/>
      <c r="L28" s="219" t="str">
        <f t="shared" ref="L28:L34" si="14">IF(ISBLANK(A28)," ",(K28*G28*$B$9))</f>
        <v xml:space="preserve"> </v>
      </c>
      <c r="M28" s="36" t="str">
        <f>IF(ISBLANK(A28),"",(I28*G28*8)-L28)</f>
        <v/>
      </c>
      <c r="N28" s="90"/>
      <c r="O28" s="209" t="str">
        <f t="shared" ref="O28:O34" si="15">IF(ISBLANK(A28),"",G28*N28*$B$9)</f>
        <v/>
      </c>
      <c r="P28" s="36" t="str">
        <f t="shared" ref="P28:P34" si="16">IF(ISBLANK(A28),"",O28-L28)</f>
        <v/>
      </c>
      <c r="Q28" s="15" t="str">
        <f t="shared" ref="Q28:Q34" si="17">IF(ISBLANK(A28),"",P28/O28)</f>
        <v/>
      </c>
      <c r="R28" s="8" t="str">
        <f t="shared" ref="R28:R34" si="18">IF(ISBLANK(A28),"",1-O28/J28)</f>
        <v/>
      </c>
      <c r="T28" s="41" t="str">
        <f t="shared" ref="T28:T34" si="19">IF(ISBLANK(A28),"",CONCATENATE(C28,"-",$B$5))</f>
        <v/>
      </c>
      <c r="X28" s="43"/>
    </row>
    <row r="29" spans="1:147" outlineLevel="1" x14ac:dyDescent="0.3">
      <c r="A29" s="87"/>
      <c r="B29" s="87"/>
      <c r="C29" s="87"/>
      <c r="D29" s="88"/>
      <c r="E29" s="88"/>
      <c r="F29" s="162"/>
      <c r="G29" s="9" t="str">
        <f t="shared" si="11"/>
        <v/>
      </c>
      <c r="H29" s="120" t="str">
        <f t="shared" si="12"/>
        <v/>
      </c>
      <c r="I29" s="90"/>
      <c r="J29" s="36" t="str">
        <f t="shared" si="13"/>
        <v/>
      </c>
      <c r="K29" s="211"/>
      <c r="L29" s="219" t="str">
        <f t="shared" si="14"/>
        <v xml:space="preserve"> </v>
      </c>
      <c r="M29" s="36" t="str">
        <f t="shared" ref="M29:M34" si="20">IF(ISBLANK(A29),"",J29-L29)</f>
        <v/>
      </c>
      <c r="N29" s="90"/>
      <c r="O29" s="209" t="str">
        <f t="shared" si="15"/>
        <v/>
      </c>
      <c r="P29" s="36" t="str">
        <f t="shared" si="16"/>
        <v/>
      </c>
      <c r="Q29" s="15" t="str">
        <f t="shared" si="17"/>
        <v/>
      </c>
      <c r="R29" s="8" t="str">
        <f t="shared" si="18"/>
        <v/>
      </c>
      <c r="T29" s="41" t="str">
        <f t="shared" si="19"/>
        <v/>
      </c>
    </row>
    <row r="30" spans="1:147" outlineLevel="1" x14ac:dyDescent="0.3">
      <c r="A30" s="87"/>
      <c r="B30" s="87"/>
      <c r="C30" s="87"/>
      <c r="D30" s="88"/>
      <c r="E30" s="88"/>
      <c r="F30" s="162"/>
      <c r="G30" s="9" t="str">
        <f t="shared" si="11"/>
        <v/>
      </c>
      <c r="H30" s="120" t="str">
        <f t="shared" si="12"/>
        <v/>
      </c>
      <c r="I30" s="90"/>
      <c r="J30" s="36" t="str">
        <f t="shared" si="13"/>
        <v/>
      </c>
      <c r="K30" s="211"/>
      <c r="L30" s="219" t="str">
        <f t="shared" si="14"/>
        <v xml:space="preserve"> </v>
      </c>
      <c r="M30" s="36" t="str">
        <f t="shared" si="20"/>
        <v/>
      </c>
      <c r="N30" s="90"/>
      <c r="O30" s="209" t="str">
        <f t="shared" si="15"/>
        <v/>
      </c>
      <c r="P30" s="36" t="str">
        <f t="shared" si="16"/>
        <v/>
      </c>
      <c r="Q30" s="15" t="str">
        <f t="shared" si="17"/>
        <v/>
      </c>
      <c r="R30" s="8" t="str">
        <f t="shared" si="18"/>
        <v/>
      </c>
      <c r="T30" s="41" t="str">
        <f t="shared" si="19"/>
        <v/>
      </c>
    </row>
    <row r="31" spans="1:147" outlineLevel="1" x14ac:dyDescent="0.3">
      <c r="A31" s="87"/>
      <c r="B31" s="87"/>
      <c r="C31" s="87"/>
      <c r="D31" s="88"/>
      <c r="E31" s="88"/>
      <c r="F31" s="162"/>
      <c r="G31" s="9" t="str">
        <f t="shared" si="11"/>
        <v/>
      </c>
      <c r="H31" s="120" t="str">
        <f t="shared" si="12"/>
        <v/>
      </c>
      <c r="I31" s="90"/>
      <c r="J31" s="36" t="str">
        <f t="shared" si="13"/>
        <v/>
      </c>
      <c r="K31" s="211"/>
      <c r="L31" s="219" t="str">
        <f t="shared" si="14"/>
        <v xml:space="preserve"> </v>
      </c>
      <c r="M31" s="36" t="str">
        <f t="shared" si="20"/>
        <v/>
      </c>
      <c r="N31" s="90"/>
      <c r="O31" s="209" t="str">
        <f t="shared" si="15"/>
        <v/>
      </c>
      <c r="P31" s="36" t="str">
        <f t="shared" si="16"/>
        <v/>
      </c>
      <c r="Q31" s="15" t="str">
        <f t="shared" si="17"/>
        <v/>
      </c>
      <c r="R31" s="8" t="str">
        <f t="shared" si="18"/>
        <v/>
      </c>
      <c r="T31" s="41" t="str">
        <f t="shared" si="19"/>
        <v/>
      </c>
    </row>
    <row r="32" spans="1:147" outlineLevel="1" x14ac:dyDescent="0.3">
      <c r="A32" s="87"/>
      <c r="B32" s="87"/>
      <c r="C32" s="87"/>
      <c r="D32" s="88"/>
      <c r="E32" s="88"/>
      <c r="F32" s="162"/>
      <c r="G32" s="9" t="str">
        <f t="shared" si="11"/>
        <v/>
      </c>
      <c r="H32" s="120" t="str">
        <f t="shared" si="12"/>
        <v/>
      </c>
      <c r="I32" s="90"/>
      <c r="J32" s="36" t="str">
        <f t="shared" si="13"/>
        <v/>
      </c>
      <c r="K32" s="211"/>
      <c r="L32" s="219" t="str">
        <f t="shared" si="14"/>
        <v xml:space="preserve"> </v>
      </c>
      <c r="M32" s="36" t="str">
        <f t="shared" si="20"/>
        <v/>
      </c>
      <c r="N32" s="90"/>
      <c r="O32" s="209" t="str">
        <f t="shared" si="15"/>
        <v/>
      </c>
      <c r="P32" s="36" t="str">
        <f t="shared" si="16"/>
        <v/>
      </c>
      <c r="Q32" s="15" t="str">
        <f t="shared" si="17"/>
        <v/>
      </c>
      <c r="R32" s="8" t="str">
        <f t="shared" si="18"/>
        <v/>
      </c>
      <c r="T32" s="41" t="str">
        <f t="shared" si="19"/>
        <v/>
      </c>
    </row>
    <row r="33" spans="1:147" outlineLevel="1" x14ac:dyDescent="0.3">
      <c r="A33" s="87"/>
      <c r="B33" s="87"/>
      <c r="C33" s="87"/>
      <c r="D33" s="88"/>
      <c r="E33" s="88"/>
      <c r="F33" s="162"/>
      <c r="G33" s="9" t="str">
        <f t="shared" si="11"/>
        <v/>
      </c>
      <c r="H33" s="120" t="str">
        <f t="shared" si="12"/>
        <v/>
      </c>
      <c r="I33" s="90"/>
      <c r="J33" s="36" t="str">
        <f t="shared" si="13"/>
        <v/>
      </c>
      <c r="K33" s="211"/>
      <c r="L33" s="219" t="str">
        <f t="shared" si="14"/>
        <v xml:space="preserve"> </v>
      </c>
      <c r="M33" s="36" t="str">
        <f t="shared" si="20"/>
        <v/>
      </c>
      <c r="N33" s="90"/>
      <c r="O33" s="209" t="str">
        <f t="shared" si="15"/>
        <v/>
      </c>
      <c r="P33" s="36" t="str">
        <f t="shared" si="16"/>
        <v/>
      </c>
      <c r="Q33" s="15" t="str">
        <f t="shared" si="17"/>
        <v/>
      </c>
      <c r="R33" s="8" t="str">
        <f t="shared" si="18"/>
        <v/>
      </c>
      <c r="T33" s="41" t="str">
        <f t="shared" si="19"/>
        <v/>
      </c>
    </row>
    <row r="34" spans="1:147" s="11" customFormat="1" ht="14.4" outlineLevel="1" thickBot="1" x14ac:dyDescent="0.35">
      <c r="A34" s="167"/>
      <c r="B34" s="167"/>
      <c r="C34" s="167"/>
      <c r="D34" s="168"/>
      <c r="E34" s="168"/>
      <c r="F34" s="169"/>
      <c r="G34" s="170" t="str">
        <f t="shared" si="11"/>
        <v/>
      </c>
      <c r="H34" s="171" t="str">
        <f t="shared" si="12"/>
        <v/>
      </c>
      <c r="I34" s="175"/>
      <c r="J34" s="82" t="str">
        <f t="shared" si="13"/>
        <v/>
      </c>
      <c r="K34" s="212"/>
      <c r="L34" s="220" t="str">
        <f t="shared" si="14"/>
        <v xml:space="preserve"> </v>
      </c>
      <c r="M34" s="82" t="str">
        <f t="shared" si="20"/>
        <v/>
      </c>
      <c r="N34" s="175"/>
      <c r="O34" s="208" t="str">
        <f t="shared" si="15"/>
        <v/>
      </c>
      <c r="P34" s="82" t="str">
        <f t="shared" si="16"/>
        <v/>
      </c>
      <c r="Q34" s="158" t="str">
        <f t="shared" si="17"/>
        <v/>
      </c>
      <c r="R34" s="173" t="str">
        <f t="shared" si="18"/>
        <v/>
      </c>
      <c r="S34" s="174"/>
      <c r="T34" s="41" t="str">
        <f t="shared" si="19"/>
        <v/>
      </c>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J34" s="41"/>
      <c r="BK34" s="41"/>
      <c r="BL34" s="41"/>
      <c r="BM34" s="41"/>
      <c r="BN34" s="41"/>
      <c r="BO34" s="41"/>
      <c r="BP34" s="41"/>
      <c r="BQ34" s="41"/>
      <c r="BR34" s="41"/>
      <c r="BS34" s="41"/>
      <c r="BT34" s="41"/>
      <c r="BU34" s="41"/>
      <c r="BV34" s="41"/>
      <c r="BW34" s="41"/>
      <c r="BX34" s="41"/>
      <c r="BY34" s="41"/>
      <c r="BZ34" s="41"/>
      <c r="CA34" s="41"/>
      <c r="CB34" s="41"/>
      <c r="CC34" s="41"/>
      <c r="CD34" s="41"/>
      <c r="CE34" s="41"/>
      <c r="CF34" s="41"/>
      <c r="CG34" s="41"/>
      <c r="CH34" s="41"/>
      <c r="CI34" s="41"/>
      <c r="CJ34" s="41"/>
      <c r="CK34" s="41"/>
      <c r="CL34" s="41"/>
      <c r="CM34" s="41"/>
      <c r="CN34" s="41"/>
      <c r="CO34" s="41"/>
      <c r="CP34" s="41"/>
      <c r="CQ34" s="41"/>
      <c r="CR34" s="41"/>
      <c r="CS34" s="41"/>
      <c r="CT34" s="41"/>
      <c r="CU34" s="41"/>
      <c r="CV34" s="41"/>
      <c r="CW34" s="41"/>
      <c r="CX34" s="41"/>
      <c r="CY34" s="41"/>
      <c r="CZ34" s="41"/>
      <c r="DA34" s="41"/>
      <c r="DB34" s="41"/>
      <c r="DC34" s="41"/>
      <c r="DD34" s="41"/>
      <c r="DE34" s="41"/>
      <c r="DF34" s="41"/>
      <c r="DG34" s="41"/>
      <c r="DH34" s="41"/>
      <c r="DI34" s="41"/>
      <c r="DJ34" s="41"/>
      <c r="DK34" s="41"/>
      <c r="DL34" s="41"/>
      <c r="DM34" s="41"/>
      <c r="DN34" s="41"/>
      <c r="DO34" s="41"/>
      <c r="DP34" s="41"/>
      <c r="DQ34" s="41"/>
      <c r="DR34" s="41"/>
      <c r="DS34" s="41"/>
      <c r="DT34" s="41"/>
      <c r="DU34" s="41"/>
      <c r="DV34" s="41"/>
      <c r="DW34" s="41"/>
      <c r="DX34" s="41"/>
      <c r="DY34" s="41"/>
      <c r="DZ34" s="41"/>
      <c r="EA34" s="41"/>
      <c r="EB34" s="41"/>
      <c r="EC34" s="41"/>
      <c r="ED34" s="41"/>
      <c r="EE34" s="41"/>
      <c r="EF34" s="41"/>
      <c r="EG34" s="41"/>
      <c r="EH34" s="41"/>
      <c r="EI34" s="41"/>
      <c r="EJ34" s="41"/>
      <c r="EK34" s="41"/>
      <c r="EL34" s="41"/>
      <c r="EM34" s="41"/>
      <c r="EN34" s="41"/>
      <c r="EO34" s="41"/>
      <c r="EP34" s="41"/>
      <c r="EQ34" s="41"/>
    </row>
    <row r="35" spans="1:147" x14ac:dyDescent="0.3">
      <c r="A35" s="3" t="s">
        <v>13</v>
      </c>
      <c r="G35" s="9">
        <f>SUM(G28:G34)</f>
        <v>0</v>
      </c>
      <c r="H35" s="9">
        <f>SUM(H28:H34)</f>
        <v>0</v>
      </c>
      <c r="I35" s="31"/>
      <c r="J35" s="36">
        <f>SUM(J28:J34)</f>
        <v>0</v>
      </c>
      <c r="K35" s="209"/>
      <c r="L35" s="209">
        <f>SUM(L28:L34)</f>
        <v>0</v>
      </c>
      <c r="M35" s="36">
        <f>SUM(M28:M34)</f>
        <v>0</v>
      </c>
      <c r="N35" s="33"/>
      <c r="O35" s="209">
        <f>SUM(O28:O34)</f>
        <v>0</v>
      </c>
      <c r="P35" s="36">
        <f>SUM(P28:P34)</f>
        <v>0</v>
      </c>
      <c r="Q35" s="15">
        <f>IF(ISBLANK(A35),"",IF(O35&gt;0,P35/O35,0))</f>
        <v>0</v>
      </c>
      <c r="R35" s="8">
        <f>IF(ISBLANK(A35),"",IF(J35&gt;0,1-O35/J35,1))</f>
        <v>1</v>
      </c>
    </row>
    <row r="36" spans="1:147" x14ac:dyDescent="0.3">
      <c r="I36" s="31"/>
      <c r="J36" s="36"/>
      <c r="K36" s="209"/>
      <c r="L36" s="209"/>
      <c r="M36" s="36"/>
      <c r="O36" s="209"/>
      <c r="P36" s="36"/>
    </row>
    <row r="37" spans="1:147" x14ac:dyDescent="0.3">
      <c r="A37" s="3" t="s">
        <v>14</v>
      </c>
      <c r="G37" s="17">
        <f>IF($B$4="Fixed Price",RISK!$L$6*(G24+G35),RISK!$N$6*(G24+G35))</f>
        <v>0</v>
      </c>
      <c r="H37" s="120">
        <f>IF(ISBLANK(B6),0,G37*B9)</f>
        <v>0</v>
      </c>
      <c r="I37" s="33"/>
      <c r="J37" s="51">
        <f>IF($B$4="Fixed Price",RISK!$L$6*(J24+J35),RISK!$N$6*(J24+J35))</f>
        <v>0</v>
      </c>
      <c r="K37" s="209"/>
      <c r="L37" s="51">
        <f>IF($B$4="Fixed Price",RISK!$L$6*(L24+L35),RISK!$N$6*(L24+L35))</f>
        <v>0</v>
      </c>
      <c r="M37" s="51">
        <f>IF($B$4="Fixed Price",RISK!$L$6*(M24+M35),RISK!$N$6*(M24+M35))</f>
        <v>0</v>
      </c>
      <c r="O37" s="51">
        <f>IF($B$4="Fixed Price",RISK!$L$6*(O24+O35),RISK!$N$6*(O24+O35))</f>
        <v>0</v>
      </c>
      <c r="P37" s="51">
        <f>IF($B$4="Fixed Price",RISK!$L$6*(P24+P35),RISK!$N$6*(P24+P35))</f>
        <v>0</v>
      </c>
      <c r="Q37" s="15" t="str">
        <f>IF(G37=0,"",P37/O37)</f>
        <v/>
      </c>
      <c r="R37" s="8" t="str">
        <f>IF(G37=0,"",1-O37/J37)</f>
        <v/>
      </c>
    </row>
    <row r="38" spans="1:147" x14ac:dyDescent="0.3">
      <c r="A38" s="3" t="s">
        <v>173</v>
      </c>
      <c r="G38" s="17">
        <f>IF($B$4="Fixed Price",RISK!$M$6*(G24+G35)+RISK!$O$6*(G24+G35),0)</f>
        <v>0</v>
      </c>
      <c r="H38" s="120">
        <f>IF(ISBLANK(B6),0,G38*B9)</f>
        <v>0</v>
      </c>
      <c r="I38" s="33"/>
      <c r="J38" s="17">
        <f>IF($B$4="Fixed Price",RISK!$M$6*(J24+J35)+RISK!$O$6*(J24+J35),0)</f>
        <v>0</v>
      </c>
      <c r="K38" s="209"/>
      <c r="L38" s="17">
        <f>IF($B$4="Fixed Price",RISK!$M$6*(L24+L35)+RISK!$O$6*(L24+L35),0)</f>
        <v>0</v>
      </c>
      <c r="M38" s="17">
        <f>IF($B$4="Fixed Price",RISK!$M$6*(M24+M35)+RISK!$O$6*(M24+M35),0)</f>
        <v>0</v>
      </c>
      <c r="O38" s="17">
        <f>IF($B$4="Fixed Price",RISK!$M$6*(O24+O35)+RISK!$O$6*(O24+O35),0)</f>
        <v>0</v>
      </c>
      <c r="P38" s="17">
        <f>IF($B$4="Fixed Price",RISK!$M$6*(P24+P35)+RISK!$O$6*(P24+P35),0)</f>
        <v>0</v>
      </c>
      <c r="Q38" s="15" t="str">
        <f>IF(G38=0,"",P38/O38)</f>
        <v/>
      </c>
      <c r="R38" s="8" t="str">
        <f>IF(G38=0,"",1-O38/J38)</f>
        <v/>
      </c>
    </row>
    <row r="39" spans="1:147" x14ac:dyDescent="0.3">
      <c r="A39" s="3" t="s">
        <v>172</v>
      </c>
      <c r="G39" s="17">
        <f>IF($B$4="T&amp;M",RISK!$O$6*(G24+G35),0)</f>
        <v>0</v>
      </c>
      <c r="H39" s="120">
        <f>IF(ISBLANK(B6),0,G39*B9)</f>
        <v>0</v>
      </c>
      <c r="I39" s="33"/>
      <c r="J39" s="17">
        <f>IF($B$4="T&amp;M",RISK!$O$6*(J24+J35),0)</f>
        <v>0</v>
      </c>
      <c r="K39" s="209"/>
      <c r="L39" s="17">
        <f>IF($B$4="T&amp;M",RISK!$O$6*(L24+L35),0)</f>
        <v>0</v>
      </c>
      <c r="M39" s="17">
        <f>IF($B$4="T&amp;M",RISK!$O$6*(M24+M35),0)</f>
        <v>0</v>
      </c>
      <c r="O39" s="17">
        <f>IF($B$4="T&amp;M",RISK!$O$6*(O24+O35),0)</f>
        <v>0</v>
      </c>
      <c r="P39" s="17">
        <f>IF($B$4="T&amp;M",RISK!$O$6*(P24+P35),0)</f>
        <v>0</v>
      </c>
      <c r="Q39" s="15" t="str">
        <f>IF(G39=0,"",P39/O39)</f>
        <v/>
      </c>
      <c r="R39" s="8" t="str">
        <f>IF(G39=0,"",1-O39/J39)</f>
        <v/>
      </c>
    </row>
    <row r="40" spans="1:147" x14ac:dyDescent="0.3">
      <c r="A40" s="3" t="s">
        <v>147</v>
      </c>
      <c r="G40" s="17">
        <f>G24+G35+G37+G38+G39</f>
        <v>0</v>
      </c>
      <c r="H40" s="17">
        <f>H24+H35+H37+H38+H39</f>
        <v>0</v>
      </c>
      <c r="I40" s="33"/>
      <c r="J40" s="17">
        <f>J24+J35+J37+J38+J39</f>
        <v>0</v>
      </c>
      <c r="K40" s="209"/>
      <c r="L40" s="17">
        <f>L24+L35+L37+L38+L39</f>
        <v>0</v>
      </c>
      <c r="M40" s="17">
        <f>M24+M35+M37+M39+M50+M38</f>
        <v>0</v>
      </c>
      <c r="O40" s="17">
        <f>O24+O35+O37+O38+O39</f>
        <v>0</v>
      </c>
      <c r="P40" s="17">
        <f>P24+P35+P37+P39+P50+P38</f>
        <v>0</v>
      </c>
      <c r="Q40" s="15">
        <f>IF(ISBLANK(A40),"",IF(O40&gt;0,P40/O40,0))</f>
        <v>0</v>
      </c>
      <c r="R40" s="8"/>
    </row>
    <row r="41" spans="1:147" x14ac:dyDescent="0.3">
      <c r="A41" s="3"/>
      <c r="G41" s="17"/>
      <c r="H41" s="120"/>
      <c r="I41" s="33"/>
      <c r="J41" s="51"/>
      <c r="K41" s="209"/>
      <c r="L41" s="51"/>
      <c r="M41" s="51"/>
      <c r="O41" s="51"/>
      <c r="P41" s="51"/>
      <c r="Q41" s="15"/>
      <c r="R41" s="8"/>
    </row>
    <row r="42" spans="1:147" hidden="1" outlineLevel="1" x14ac:dyDescent="0.3">
      <c r="A42" s="12" t="s">
        <v>145</v>
      </c>
      <c r="B42" s="12"/>
      <c r="C42" s="12"/>
      <c r="D42" s="13" t="s">
        <v>56</v>
      </c>
      <c r="E42" s="13" t="s">
        <v>57</v>
      </c>
      <c r="F42" s="13" t="s">
        <v>149</v>
      </c>
      <c r="G42" s="13" t="s">
        <v>20</v>
      </c>
      <c r="H42" s="119" t="s">
        <v>83</v>
      </c>
      <c r="I42" s="40" t="s">
        <v>10</v>
      </c>
      <c r="J42" s="13" t="s">
        <v>58</v>
      </c>
      <c r="K42" s="206"/>
      <c r="L42" s="218" t="s">
        <v>31</v>
      </c>
      <c r="M42" s="39" t="s">
        <v>21</v>
      </c>
      <c r="N42" s="35" t="s">
        <v>22</v>
      </c>
      <c r="O42" s="218" t="s">
        <v>60</v>
      </c>
      <c r="P42" s="13" t="s">
        <v>32</v>
      </c>
      <c r="Q42" s="13"/>
      <c r="R42" s="13"/>
    </row>
    <row r="43" spans="1:147" hidden="1" outlineLevel="1" x14ac:dyDescent="0.3">
      <c r="A43" s="160"/>
      <c r="B43" s="160"/>
      <c r="C43" s="160"/>
      <c r="D43" s="161"/>
      <c r="E43" s="161"/>
      <c r="F43" s="162"/>
      <c r="G43" s="163" t="str">
        <f>IF(ISBLANK(A43),"",NETWORKDAYS(D43,E43)*F43)</f>
        <v/>
      </c>
      <c r="H43" s="164" t="str">
        <f>IF(ISBLANK(A43),"",G43*$B$9)</f>
        <v/>
      </c>
      <c r="I43" s="165">
        <v>0</v>
      </c>
      <c r="J43" s="80" t="str">
        <f>IF(ISBLANK(A43),"",H43*I43)</f>
        <v/>
      </c>
      <c r="K43" s="213">
        <v>0</v>
      </c>
      <c r="L43" s="221" t="str">
        <f>IF(ISBLANK(A43)," ",(K43*G43*$B$9))</f>
        <v xml:space="preserve"> </v>
      </c>
      <c r="M43" s="80" t="str">
        <f>IF(ISBLANK(A43),"",(I43*G43*8)-L43)</f>
        <v/>
      </c>
      <c r="N43" s="165">
        <v>0</v>
      </c>
      <c r="O43" s="207" t="str">
        <f>IF(ISBLANK(A43),"",G43*N43*$B$9)</f>
        <v/>
      </c>
      <c r="P43" s="80" t="str">
        <f>IF(ISBLANK(A43),"",O43-L43)</f>
        <v/>
      </c>
      <c r="Q43" s="155"/>
      <c r="R43" s="166"/>
      <c r="S43" s="41"/>
      <c r="T43" s="41" t="str">
        <f>IF(ISBLANK(A43),"",CONCATENATE(C43,"-",$B$5))</f>
        <v/>
      </c>
      <c r="X43" s="43"/>
    </row>
    <row r="44" spans="1:147" hidden="1" outlineLevel="1" x14ac:dyDescent="0.3">
      <c r="A44" s="160"/>
      <c r="B44" s="160"/>
      <c r="C44" s="160"/>
      <c r="D44" s="161"/>
      <c r="E44" s="161"/>
      <c r="F44" s="162"/>
      <c r="G44" s="163" t="str">
        <f>IF(ISBLANK(A44),"",NETWORKDAYS(D44,E44)*F44)</f>
        <v/>
      </c>
      <c r="H44" s="164" t="str">
        <f>IF(ISBLANK(A44),"",G44*$B$9)</f>
        <v/>
      </c>
      <c r="I44" s="165">
        <v>0</v>
      </c>
      <c r="J44" s="80" t="str">
        <f>IF(ISBLANK(A44),"",H44*I44)</f>
        <v/>
      </c>
      <c r="K44" s="213">
        <v>0</v>
      </c>
      <c r="L44" s="221" t="str">
        <f>IF(ISBLANK(A44)," ",(K44*G44*$B$9))</f>
        <v xml:space="preserve"> </v>
      </c>
      <c r="M44" s="80" t="str">
        <f>IF(ISBLANK(A44),"",J44-L44)</f>
        <v/>
      </c>
      <c r="N44" s="165">
        <v>0</v>
      </c>
      <c r="O44" s="207" t="str">
        <f>IF(ISBLANK(A44),"",G44*N44*$B$9)</f>
        <v/>
      </c>
      <c r="P44" s="80" t="str">
        <f>IF(ISBLANK(A44),"",O44-L44)</f>
        <v/>
      </c>
      <c r="Q44" s="155"/>
      <c r="R44" s="166"/>
      <c r="S44" s="41"/>
      <c r="T44" s="41" t="str">
        <f>IF(ISBLANK(A44),"",CONCATENATE(C44,"-",$B$5))</f>
        <v/>
      </c>
    </row>
    <row r="45" spans="1:147" hidden="1" outlineLevel="1" x14ac:dyDescent="0.3">
      <c r="A45" s="160"/>
      <c r="B45" s="160"/>
      <c r="C45" s="160"/>
      <c r="D45" s="161"/>
      <c r="E45" s="161"/>
      <c r="F45" s="162"/>
      <c r="G45" s="163" t="str">
        <f>IF(ISBLANK(A45),"",NETWORKDAYS(D45,E45)*F45)</f>
        <v/>
      </c>
      <c r="H45" s="164" t="str">
        <f>IF(ISBLANK(A45),"",G45*$B$9)</f>
        <v/>
      </c>
      <c r="I45" s="165">
        <v>0</v>
      </c>
      <c r="J45" s="80" t="str">
        <f>IF(ISBLANK(A45),"",H45*I45)</f>
        <v/>
      </c>
      <c r="K45" s="213">
        <v>0</v>
      </c>
      <c r="L45" s="221" t="str">
        <f>IF(ISBLANK(A45)," ",(K45*G45*$B$9))</f>
        <v xml:space="preserve"> </v>
      </c>
      <c r="M45" s="80" t="str">
        <f>IF(ISBLANK(A45),"",J45-L45)</f>
        <v/>
      </c>
      <c r="N45" s="165">
        <v>0</v>
      </c>
      <c r="O45" s="207" t="str">
        <f>IF(ISBLANK(A45),"",G45*N45*$B$9)</f>
        <v/>
      </c>
      <c r="P45" s="80" t="str">
        <f>IF(ISBLANK(A45),"",O45-L45)</f>
        <v/>
      </c>
      <c r="Q45" s="155" t="str">
        <f>IF(ISBLANK(A45),"",P45/O45)</f>
        <v/>
      </c>
      <c r="R45" s="166" t="str">
        <f>IF(ISBLANK(A45),"",1-O45/J45)</f>
        <v/>
      </c>
      <c r="S45" s="41"/>
      <c r="T45" s="41" t="str">
        <f>IF(ISBLANK(A45),"",CONCATENATE(C45,"-",$B$5))</f>
        <v/>
      </c>
    </row>
    <row r="46" spans="1:147" hidden="1" outlineLevel="1" x14ac:dyDescent="0.3">
      <c r="A46" s="160"/>
      <c r="B46" s="160"/>
      <c r="C46" s="160"/>
      <c r="D46" s="161"/>
      <c r="E46" s="161"/>
      <c r="F46" s="162"/>
      <c r="G46" s="163" t="str">
        <f>IF(ISBLANK(A46),"",NETWORKDAYS(D46,E46)*F46)</f>
        <v/>
      </c>
      <c r="H46" s="164" t="str">
        <f>IF(ISBLANK(A46),"",G46*$B$9)</f>
        <v/>
      </c>
      <c r="I46" s="165">
        <v>0</v>
      </c>
      <c r="J46" s="80" t="str">
        <f>IF(ISBLANK(A46),"",H46*I46)</f>
        <v/>
      </c>
      <c r="K46" s="213">
        <v>0</v>
      </c>
      <c r="L46" s="221" t="str">
        <f>IF(ISBLANK(A46)," ",(K46*G46*$B$9))</f>
        <v xml:space="preserve"> </v>
      </c>
      <c r="M46" s="80" t="str">
        <f>IF(ISBLANK(A46),"",J46-L46)</f>
        <v/>
      </c>
      <c r="N46" s="165">
        <v>0</v>
      </c>
      <c r="O46" s="207" t="str">
        <f>IF(ISBLANK(A46),"",G46*N46*$B$9)</f>
        <v/>
      </c>
      <c r="P46" s="80" t="str">
        <f>IF(ISBLANK(A46),"",O46-L46)</f>
        <v/>
      </c>
      <c r="Q46" s="155" t="str">
        <f>IF(ISBLANK(A46),"",P46/O46)</f>
        <v/>
      </c>
      <c r="R46" s="166" t="str">
        <f>IF(ISBLANK(A46),"",1-O46/J46)</f>
        <v/>
      </c>
      <c r="S46" s="41"/>
      <c r="T46" s="41" t="str">
        <f>IF(ISBLANK(A46),"",CONCATENATE(C46,"-",$B$5))</f>
        <v/>
      </c>
    </row>
    <row r="47" spans="1:147" ht="14.4" hidden="1" outlineLevel="1" thickBot="1" x14ac:dyDescent="0.35">
      <c r="A47" s="167"/>
      <c r="B47" s="167"/>
      <c r="C47" s="167"/>
      <c r="D47" s="168"/>
      <c r="E47" s="168"/>
      <c r="F47" s="169"/>
      <c r="G47" s="170" t="str">
        <f>IF(ISBLANK(A47),"",NETWORKDAYS(D47,E47)*F47)</f>
        <v/>
      </c>
      <c r="H47" s="171" t="str">
        <f>IF(ISBLANK(A47),"",G47*$B$9)</f>
        <v/>
      </c>
      <c r="I47" s="172">
        <v>0</v>
      </c>
      <c r="J47" s="82" t="str">
        <f>IF(ISBLANK(A47),"",H47*I47)</f>
        <v/>
      </c>
      <c r="K47" s="214">
        <v>0</v>
      </c>
      <c r="L47" s="220" t="str">
        <f>IF(ISBLANK(A47)," ",(K47*G47*$B$9))</f>
        <v xml:space="preserve"> </v>
      </c>
      <c r="M47" s="82" t="str">
        <f>IF(ISBLANK(A47),"",J47-L47)</f>
        <v/>
      </c>
      <c r="N47" s="172">
        <v>0</v>
      </c>
      <c r="O47" s="208" t="str">
        <f>IF(ISBLANK(A47),"",G47*N47*$B$9)</f>
        <v/>
      </c>
      <c r="P47" s="82" t="str">
        <f>IF(ISBLANK(A47),"",O47-L47)</f>
        <v/>
      </c>
      <c r="Q47" s="158" t="str">
        <f>IF(ISBLANK(A47),"",P47/O47)</f>
        <v/>
      </c>
      <c r="R47" s="173" t="str">
        <f>IF(ISBLANK(A47),"",1-O47/J47)</f>
        <v/>
      </c>
      <c r="S47" s="174"/>
      <c r="T47" s="41" t="str">
        <f>IF(ISBLANK(A47),"",CONCATENATE(C47,"-",$B$5))</f>
        <v/>
      </c>
    </row>
    <row r="48" spans="1:147" hidden="1" x14ac:dyDescent="0.3">
      <c r="A48" s="3" t="s">
        <v>146</v>
      </c>
      <c r="G48" s="17">
        <f>SUM(G43:G47)</f>
        <v>0</v>
      </c>
      <c r="H48" s="17">
        <f>SUM(H43:H47)</f>
        <v>0</v>
      </c>
      <c r="I48" s="33"/>
      <c r="J48" s="51"/>
      <c r="K48" s="209"/>
      <c r="L48" s="51"/>
      <c r="M48" s="51"/>
      <c r="O48" s="51"/>
      <c r="P48" s="51"/>
      <c r="Q48" s="15"/>
      <c r="R48" s="8"/>
    </row>
    <row r="49" spans="1:147" hidden="1" x14ac:dyDescent="0.3">
      <c r="A49" s="3"/>
      <c r="G49" s="17"/>
      <c r="H49" s="120"/>
      <c r="I49" s="33"/>
      <c r="J49" s="123"/>
      <c r="K49" s="209"/>
      <c r="L49" s="51"/>
      <c r="M49" s="51"/>
      <c r="O49" s="123"/>
      <c r="P49" s="51"/>
      <c r="Q49" s="15" t="str">
        <f>IF(G49=0,"",P49/O49)</f>
        <v/>
      </c>
      <c r="R49" s="8" t="str">
        <f>IF(G49=0,"",1-O49/J49)</f>
        <v/>
      </c>
    </row>
    <row r="50" spans="1:147" s="11" customFormat="1" x14ac:dyDescent="0.3">
      <c r="A50" s="12" t="s">
        <v>16</v>
      </c>
      <c r="H50" s="121"/>
      <c r="I50" s="32"/>
      <c r="J50" s="37"/>
      <c r="K50" s="215"/>
      <c r="L50" s="215">
        <f>'Non-Reimbursable Expenses'!B27</f>
        <v>0</v>
      </c>
      <c r="M50" s="37"/>
      <c r="N50" s="32"/>
      <c r="O50" s="215">
        <f>IF($B$4="Fixed Price",L50,0)</f>
        <v>0</v>
      </c>
      <c r="P50" s="37"/>
      <c r="Q50" s="18"/>
      <c r="T50" s="41"/>
      <c r="U50" s="41"/>
      <c r="V50" s="41"/>
      <c r="W50" s="41"/>
      <c r="X50" s="41"/>
      <c r="Y50" s="41"/>
      <c r="Z50" s="41"/>
      <c r="AA50" s="41"/>
      <c r="AB50" s="41"/>
      <c r="AC50" s="41"/>
      <c r="AD50" s="41"/>
      <c r="AE50" s="41"/>
      <c r="AF50" s="41"/>
      <c r="AG50" s="41"/>
      <c r="AH50" s="41"/>
      <c r="AI50" s="41"/>
      <c r="AJ50" s="41"/>
      <c r="AK50" s="41"/>
      <c r="AL50" s="41"/>
      <c r="AM50" s="41"/>
      <c r="AN50" s="41"/>
      <c r="AO50" s="41"/>
      <c r="AP50" s="41"/>
      <c r="AQ50" s="41"/>
      <c r="AR50" s="41"/>
      <c r="AS50" s="41"/>
      <c r="AT50" s="41"/>
      <c r="AU50" s="41"/>
      <c r="AV50" s="41"/>
      <c r="AW50" s="41"/>
      <c r="AX50" s="41"/>
      <c r="AY50" s="41"/>
      <c r="AZ50" s="41"/>
      <c r="BA50" s="41"/>
      <c r="BB50" s="41"/>
      <c r="BC50" s="41"/>
      <c r="BD50" s="41"/>
      <c r="BE50" s="41"/>
      <c r="BF50" s="41"/>
      <c r="BG50" s="41"/>
      <c r="BH50" s="41"/>
      <c r="BI50" s="41"/>
      <c r="BJ50" s="41"/>
      <c r="BK50" s="41"/>
      <c r="BL50" s="41"/>
      <c r="BM50" s="41"/>
      <c r="BN50" s="41"/>
      <c r="BO50" s="41"/>
      <c r="BP50" s="41"/>
      <c r="BQ50" s="41"/>
      <c r="BR50" s="41"/>
      <c r="BS50" s="41"/>
      <c r="BT50" s="41"/>
      <c r="BU50" s="41"/>
      <c r="BV50" s="41"/>
      <c r="BW50" s="41"/>
      <c r="BX50" s="41"/>
      <c r="BY50" s="41"/>
      <c r="BZ50" s="41"/>
      <c r="CA50" s="41"/>
      <c r="CB50" s="41"/>
      <c r="CC50" s="41"/>
      <c r="CD50" s="41"/>
      <c r="CE50" s="41"/>
      <c r="CF50" s="41"/>
      <c r="CG50" s="41"/>
      <c r="CH50" s="41"/>
      <c r="CI50" s="41"/>
      <c r="CJ50" s="41"/>
      <c r="CK50" s="41"/>
      <c r="CL50" s="41"/>
      <c r="CM50" s="41"/>
      <c r="CN50" s="41"/>
      <c r="CO50" s="41"/>
      <c r="CP50" s="41"/>
      <c r="CQ50" s="41"/>
      <c r="CR50" s="41"/>
      <c r="CS50" s="41"/>
      <c r="CT50" s="41"/>
      <c r="CU50" s="41"/>
      <c r="CV50" s="41"/>
      <c r="CW50" s="41"/>
      <c r="CX50" s="41"/>
      <c r="CY50" s="41"/>
      <c r="CZ50" s="41"/>
      <c r="DA50" s="41"/>
      <c r="DB50" s="41"/>
      <c r="DC50" s="41"/>
      <c r="DD50" s="41"/>
      <c r="DE50" s="41"/>
      <c r="DF50" s="41"/>
      <c r="DG50" s="41"/>
      <c r="DH50" s="41"/>
      <c r="DI50" s="41"/>
      <c r="DJ50" s="41"/>
      <c r="DK50" s="41"/>
      <c r="DL50" s="41"/>
      <c r="DM50" s="41"/>
      <c r="DN50" s="41"/>
      <c r="DO50" s="41"/>
      <c r="DP50" s="41"/>
      <c r="DQ50" s="41"/>
      <c r="DR50" s="41"/>
      <c r="DS50" s="41"/>
      <c r="DT50" s="41"/>
      <c r="DU50" s="41"/>
      <c r="DV50" s="41"/>
      <c r="DW50" s="41"/>
      <c r="DX50" s="41"/>
      <c r="DY50" s="41"/>
      <c r="DZ50" s="41"/>
      <c r="EA50" s="41"/>
      <c r="EB50" s="41"/>
      <c r="EC50" s="41"/>
      <c r="ED50" s="41"/>
      <c r="EE50" s="41"/>
      <c r="EF50" s="41"/>
      <c r="EG50" s="41"/>
      <c r="EH50" s="41"/>
      <c r="EI50" s="41"/>
      <c r="EJ50" s="41"/>
      <c r="EK50" s="41"/>
      <c r="EL50" s="41"/>
      <c r="EM50" s="41"/>
      <c r="EN50" s="41"/>
      <c r="EO50" s="41"/>
      <c r="EP50" s="41"/>
      <c r="EQ50" s="41"/>
    </row>
    <row r="51" spans="1:147" ht="15.6" x14ac:dyDescent="0.3">
      <c r="A51" s="14" t="s">
        <v>17</v>
      </c>
      <c r="G51" s="9">
        <f>G40+G48</f>
        <v>0</v>
      </c>
      <c r="H51" s="9">
        <f>H40+H48</f>
        <v>0</v>
      </c>
      <c r="I51" s="31"/>
      <c r="J51" s="36">
        <f>J40</f>
        <v>0</v>
      </c>
      <c r="K51" s="209"/>
      <c r="L51" s="209">
        <f>L40+L50</f>
        <v>0</v>
      </c>
      <c r="M51" s="36">
        <f>M40</f>
        <v>0</v>
      </c>
      <c r="N51" s="33"/>
      <c r="O51" s="209">
        <f>O40+O50</f>
        <v>0</v>
      </c>
      <c r="P51" s="36">
        <f>P40</f>
        <v>0</v>
      </c>
      <c r="Q51" s="15">
        <f>IF(ISBLANK(A51),"",IF(O51&gt;0,P51/O51,0))</f>
        <v>0</v>
      </c>
      <c r="R51" s="8">
        <f>IF(ISBLANK(A51),"",IF(J51&gt;0,1-O51/J51,1))</f>
        <v>1</v>
      </c>
    </row>
    <row r="52" spans="1:147" ht="4.5" customHeight="1" thickBot="1" x14ac:dyDescent="0.35">
      <c r="I52" s="31"/>
      <c r="J52" s="36"/>
      <c r="K52" s="209"/>
      <c r="L52" s="209"/>
      <c r="M52" s="36"/>
      <c r="O52" s="209"/>
      <c r="P52" s="36"/>
    </row>
    <row r="53" spans="1:147" ht="15.75" customHeight="1" thickBot="1" x14ac:dyDescent="0.35">
      <c r="A53" s="64" t="s">
        <v>62</v>
      </c>
      <c r="B53" s="65"/>
      <c r="C53" s="65"/>
      <c r="D53" s="65"/>
      <c r="E53" s="65"/>
      <c r="F53" s="65"/>
      <c r="G53" s="66"/>
      <c r="H53" s="122"/>
      <c r="I53" s="67"/>
      <c r="J53" s="68"/>
      <c r="K53" s="216"/>
      <c r="L53" s="216"/>
      <c r="M53" s="68"/>
      <c r="N53" s="67"/>
      <c r="O53" s="222">
        <f>O51</f>
        <v>0</v>
      </c>
      <c r="P53" s="44">
        <f>O53-L51</f>
        <v>0</v>
      </c>
      <c r="Q53" s="45">
        <f>IF(ISBLANK(A53),"",IF(O53&gt;0,P53/O53,0))</f>
        <v>0</v>
      </c>
      <c r="R53" s="46">
        <f>IF(ISBLANK(A53),"",IF(J53&gt;0,1-O53/J53,1))</f>
        <v>1</v>
      </c>
    </row>
    <row r="54" spans="1:147" ht="6" customHeight="1" x14ac:dyDescent="0.3">
      <c r="I54" s="31"/>
      <c r="J54" s="36"/>
      <c r="K54" s="209"/>
      <c r="L54" s="209"/>
      <c r="M54" s="36"/>
      <c r="O54" s="209"/>
      <c r="P54" s="36"/>
    </row>
    <row r="55" spans="1:147" outlineLevel="1" x14ac:dyDescent="0.3">
      <c r="A55" s="2" t="str">
        <f>IF($B$8="Estimate","Low Estimate","")</f>
        <v/>
      </c>
      <c r="G55" s="9">
        <f>G51*(1-$F$8)</f>
        <v>0</v>
      </c>
      <c r="H55" s="9">
        <f>H51*(1-$F$8)</f>
        <v>0</v>
      </c>
      <c r="I55" s="31"/>
      <c r="J55" s="36">
        <f>J51*(1-$F$8)</f>
        <v>0</v>
      </c>
      <c r="K55" s="209"/>
      <c r="L55" s="209">
        <f>L51*(1-$F$8)</f>
        <v>0</v>
      </c>
      <c r="M55" s="36">
        <f>M51*(1-$F$8)</f>
        <v>0</v>
      </c>
      <c r="N55" s="50"/>
      <c r="O55" s="209">
        <f>O51*(1-$F$8)</f>
        <v>0</v>
      </c>
      <c r="P55" s="36">
        <f>P51*(1-$F$8)</f>
        <v>0</v>
      </c>
      <c r="Q55" s="15">
        <f>IF(ISBLANK(A55),"",IF(O55&gt;0,P55/O55,0))</f>
        <v>0</v>
      </c>
      <c r="R55" s="8"/>
    </row>
    <row r="56" spans="1:147" outlineLevel="1" x14ac:dyDescent="0.3">
      <c r="A56" s="2" t="str">
        <f>IF($B$8="Estimate","High Estimate","")</f>
        <v/>
      </c>
      <c r="G56" s="9">
        <f>G51*(1+$F$9)</f>
        <v>0</v>
      </c>
      <c r="H56" s="9">
        <f>H51*(1+$F$9)</f>
        <v>0</v>
      </c>
      <c r="I56" s="31"/>
      <c r="J56" s="36">
        <f>J51*(1+$F$9)</f>
        <v>0</v>
      </c>
      <c r="K56" s="209"/>
      <c r="L56" s="209">
        <f>L51*(1+$F$9)</f>
        <v>0</v>
      </c>
      <c r="M56" s="36">
        <f>M51*(1+$F$9)</f>
        <v>0</v>
      </c>
      <c r="N56" s="50"/>
      <c r="O56" s="209">
        <f>O51*(1+$F$9)</f>
        <v>0</v>
      </c>
      <c r="P56" s="36">
        <f>P51*(1+$F$9)</f>
        <v>0</v>
      </c>
      <c r="Q56" s="15">
        <f>IF(ISBLANK(A56),"",IF(O56&gt;0,P56/O56,0))</f>
        <v>0</v>
      </c>
      <c r="R56" s="8"/>
    </row>
    <row r="57" spans="1:147" x14ac:dyDescent="0.3">
      <c r="I57" s="31"/>
    </row>
  </sheetData>
  <sheetProtection sheet="1" objects="1" scenarios="1" insertRows="0" sort="0" autoFilter="0" pivotTables="0"/>
  <mergeCells count="1">
    <mergeCell ref="A24:B24"/>
  </mergeCells>
  <dataValidations count="12">
    <dataValidation type="list" allowBlank="1" showInputMessage="1" showErrorMessage="1" sqref="C14:C23">
      <formula1>"APAC, EU, NA, SELECT ONE, ERROR"</formula1>
    </dataValidation>
    <dataValidation type="list" allowBlank="1" showInputMessage="1" showErrorMessage="1" sqref="B8">
      <formula1>"Quote, Estimate, Select One"</formula1>
    </dataValidation>
    <dataValidation type="list" allowBlank="1" showInputMessage="1" showErrorMessage="1" sqref="B4">
      <formula1>"T&amp;M, Fixed Price, SELECT ONE"</formula1>
    </dataValidation>
    <dataValidation type="list" showInputMessage="1" showErrorMessage="1" sqref="B10">
      <formula1>"SELECT ONE, APAC, EU, NA"</formula1>
    </dataValidation>
    <dataValidation type="date" operator="greaterThanOrEqual" allowBlank="1" showInputMessage="1" showErrorMessage="1" sqref="D43:D44 D14:D23 D29:E34 D28 D45:E47">
      <formula1>38353</formula1>
    </dataValidation>
    <dataValidation type="whole" showInputMessage="1" showErrorMessage="1" sqref="B9:C9">
      <formula1>8</formula1>
      <formula2>9</formula2>
    </dataValidation>
    <dataValidation type="decimal" allowBlank="1" showInputMessage="1" showErrorMessage="1" sqref="F28:F34">
      <formula1>0</formula1>
      <formula2>5</formula2>
    </dataValidation>
    <dataValidation type="date" operator="greaterThan" allowBlank="1" showInputMessage="1" showErrorMessage="1" sqref="E43:E44 E14:E23 E28">
      <formula1>38353</formula1>
    </dataValidation>
    <dataValidation type="list" showInputMessage="1" showErrorMessage="1" sqref="C4">
      <formula1>"T&amp;M, Fixed Price, SELECT ONE"</formula1>
    </dataValidation>
    <dataValidation type="list" showInputMessage="1" showErrorMessage="1" sqref="C8">
      <formula1>"Quote, Estimate, SELECT ONE"</formula1>
    </dataValidation>
    <dataValidation type="decimal" allowBlank="1" showInputMessage="1" showErrorMessage="1" sqref="F43">
      <formula1>0</formula1>
      <formula2>1</formula2>
    </dataValidation>
    <dataValidation type="decimal" allowBlank="1" showInputMessage="1" showErrorMessage="1" sqref="F14:F23">
      <formula1>0</formula1>
      <formula2>9</formula2>
    </dataValidation>
  </dataValidations>
  <pageMargins left="0.75" right="0.75" top="1" bottom="1" header="0.5" footer="0.5"/>
  <pageSetup scale="57" fitToHeight="5" orientation="landscape"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gsrates!$A$60:$A$96</xm:f>
          </x14:formula1>
          <xm:sqref>A14:A23</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M96"/>
  <sheetViews>
    <sheetView workbookViewId="0">
      <pane xSplit="1" ySplit="2" topLeftCell="B3" activePane="bottomRight" state="frozen"/>
      <selection pane="topRight" activeCell="B1" sqref="B1"/>
      <selection pane="bottomLeft" activeCell="A3" sqref="A3"/>
      <selection pane="bottomRight" activeCell="AL24" sqref="AL24"/>
    </sheetView>
  </sheetViews>
  <sheetFormatPr defaultRowHeight="13.2" x14ac:dyDescent="0.25"/>
  <cols>
    <col min="1" max="1" width="28.109375" bestFit="1" customWidth="1"/>
    <col min="38" max="38" width="9.33203125" style="263"/>
    <col min="39" max="39" width="9.33203125" style="264"/>
  </cols>
  <sheetData>
    <row r="1" spans="1:39" x14ac:dyDescent="0.25">
      <c r="B1" s="395" t="s">
        <v>138</v>
      </c>
      <c r="C1" s="395"/>
      <c r="D1" s="402" t="s">
        <v>232</v>
      </c>
      <c r="E1" s="398"/>
      <c r="F1" s="396" t="s">
        <v>176</v>
      </c>
      <c r="G1" s="397"/>
      <c r="H1" s="400" t="s">
        <v>177</v>
      </c>
      <c r="I1" s="399"/>
      <c r="J1" s="402" t="s">
        <v>184</v>
      </c>
      <c r="K1" s="398"/>
      <c r="L1" s="401" t="s">
        <v>181</v>
      </c>
      <c r="M1" s="395"/>
      <c r="N1" s="398" t="s">
        <v>152</v>
      </c>
      <c r="O1" s="398"/>
      <c r="P1" s="396" t="s">
        <v>233</v>
      </c>
      <c r="Q1" s="397"/>
      <c r="R1" s="399" t="s">
        <v>153</v>
      </c>
      <c r="S1" s="399"/>
      <c r="T1" s="395" t="s">
        <v>154</v>
      </c>
      <c r="U1" s="395"/>
      <c r="V1" s="402" t="s">
        <v>235</v>
      </c>
      <c r="W1" s="398"/>
      <c r="X1" s="401" t="s">
        <v>234</v>
      </c>
      <c r="Y1" s="395"/>
      <c r="Z1" s="396" t="s">
        <v>158</v>
      </c>
      <c r="AA1" s="397"/>
      <c r="AB1" s="402" t="s">
        <v>185</v>
      </c>
      <c r="AC1" s="398"/>
      <c r="AD1" s="401" t="s">
        <v>229</v>
      </c>
      <c r="AE1" s="395"/>
      <c r="AF1" s="398" t="s">
        <v>155</v>
      </c>
      <c r="AG1" s="398"/>
      <c r="AH1" s="399" t="s">
        <v>156</v>
      </c>
      <c r="AI1" s="399"/>
      <c r="AJ1" s="401" t="s">
        <v>163</v>
      </c>
      <c r="AK1" s="395"/>
      <c r="AL1" s="403"/>
      <c r="AM1" s="404"/>
    </row>
    <row r="2" spans="1:39" x14ac:dyDescent="0.25">
      <c r="B2" s="183" t="s">
        <v>10</v>
      </c>
      <c r="C2" s="183" t="s">
        <v>59</v>
      </c>
      <c r="D2" s="186" t="s">
        <v>10</v>
      </c>
      <c r="E2" s="186" t="s">
        <v>59</v>
      </c>
      <c r="F2" s="180" t="s">
        <v>10</v>
      </c>
      <c r="G2" s="180" t="s">
        <v>59</v>
      </c>
      <c r="H2" s="181" t="s">
        <v>10</v>
      </c>
      <c r="I2" s="181" t="s">
        <v>59</v>
      </c>
      <c r="J2" s="186" t="s">
        <v>10</v>
      </c>
      <c r="K2" s="186" t="s">
        <v>59</v>
      </c>
      <c r="L2" s="183" t="s">
        <v>10</v>
      </c>
      <c r="M2" s="183" t="s">
        <v>59</v>
      </c>
      <c r="N2" s="186" t="s">
        <v>10</v>
      </c>
      <c r="O2" s="186" t="s">
        <v>59</v>
      </c>
      <c r="P2" s="180" t="s">
        <v>10</v>
      </c>
      <c r="Q2" s="180" t="s">
        <v>59</v>
      </c>
      <c r="R2" s="181" t="s">
        <v>10</v>
      </c>
      <c r="S2" s="181" t="s">
        <v>59</v>
      </c>
      <c r="T2" s="183" t="s">
        <v>10</v>
      </c>
      <c r="U2" s="183" t="s">
        <v>59</v>
      </c>
      <c r="V2" s="186" t="s">
        <v>10</v>
      </c>
      <c r="W2" s="186" t="s">
        <v>59</v>
      </c>
      <c r="X2" s="183" t="s">
        <v>10</v>
      </c>
      <c r="Y2" s="183" t="s">
        <v>59</v>
      </c>
      <c r="Z2" s="180" t="s">
        <v>10</v>
      </c>
      <c r="AA2" s="180" t="s">
        <v>59</v>
      </c>
      <c r="AB2" s="186" t="s">
        <v>10</v>
      </c>
      <c r="AC2" s="186" t="s">
        <v>59</v>
      </c>
      <c r="AD2" s="183" t="s">
        <v>10</v>
      </c>
      <c r="AE2" s="183" t="s">
        <v>59</v>
      </c>
      <c r="AF2" s="186" t="s">
        <v>10</v>
      </c>
      <c r="AG2" s="186" t="s">
        <v>59</v>
      </c>
      <c r="AH2" s="181" t="s">
        <v>10</v>
      </c>
      <c r="AI2" s="181" t="s">
        <v>59</v>
      </c>
      <c r="AJ2" s="183" t="s">
        <v>10</v>
      </c>
      <c r="AK2" s="183" t="s">
        <v>59</v>
      </c>
      <c r="AL2" s="370"/>
      <c r="AM2" s="261"/>
    </row>
    <row r="3" spans="1:39" ht="13.8" x14ac:dyDescent="0.3">
      <c r="A3" s="97" t="s">
        <v>99</v>
      </c>
      <c r="B3" s="184">
        <v>330</v>
      </c>
      <c r="C3" s="184">
        <v>162</v>
      </c>
      <c r="D3" s="191">
        <v>300</v>
      </c>
      <c r="E3" s="191">
        <v>200</v>
      </c>
      <c r="F3" s="185">
        <v>200</v>
      </c>
      <c r="G3" s="185">
        <v>148</v>
      </c>
      <c r="H3" s="188">
        <v>242</v>
      </c>
      <c r="I3" s="188">
        <f t="shared" ref="I3:I26" si="0">G3*1.17221</f>
        <v>173.48707999999999</v>
      </c>
      <c r="J3" s="191">
        <f>F3*1.604</f>
        <v>320.8</v>
      </c>
      <c r="K3" s="191">
        <f t="shared" ref="K3:K37" si="1">G3*1.24</f>
        <v>183.52</v>
      </c>
      <c r="L3" s="189">
        <v>240</v>
      </c>
      <c r="M3" s="189">
        <v>173</v>
      </c>
      <c r="N3" s="187">
        <v>250</v>
      </c>
      <c r="O3" s="187">
        <v>144</v>
      </c>
      <c r="P3" s="190">
        <v>290</v>
      </c>
      <c r="Q3" s="190">
        <v>144</v>
      </c>
      <c r="R3" s="188">
        <v>250</v>
      </c>
      <c r="S3" s="188">
        <v>215</v>
      </c>
      <c r="T3" s="189">
        <v>250</v>
      </c>
      <c r="U3" s="189">
        <v>125</v>
      </c>
      <c r="V3" s="187">
        <v>330</v>
      </c>
      <c r="W3" s="187">
        <v>161</v>
      </c>
      <c r="X3" s="189">
        <v>350</v>
      </c>
      <c r="Y3" s="189">
        <v>172</v>
      </c>
      <c r="Z3" s="190">
        <v>250</v>
      </c>
      <c r="AA3" s="190">
        <v>200</v>
      </c>
      <c r="AB3" s="191">
        <v>125</v>
      </c>
      <c r="AC3" s="191">
        <f>AE3*0.27895</f>
        <v>95.958799999999997</v>
      </c>
      <c r="AD3" s="202">
        <v>440</v>
      </c>
      <c r="AE3" s="202">
        <v>344</v>
      </c>
      <c r="AF3" s="191">
        <v>360</v>
      </c>
      <c r="AG3" s="191">
        <v>220</v>
      </c>
      <c r="AH3" s="182">
        <v>300</v>
      </c>
      <c r="AI3" s="182">
        <v>142</v>
      </c>
      <c r="AJ3" s="202">
        <v>25000</v>
      </c>
      <c r="AK3" s="202">
        <v>11841</v>
      </c>
      <c r="AM3" s="262"/>
    </row>
    <row r="4" spans="1:39" ht="13.8" x14ac:dyDescent="0.3">
      <c r="A4" s="97" t="s">
        <v>100</v>
      </c>
      <c r="B4" s="184">
        <v>305</v>
      </c>
      <c r="C4" s="184">
        <v>139</v>
      </c>
      <c r="D4" s="191">
        <v>260</v>
      </c>
      <c r="E4" s="191">
        <v>120</v>
      </c>
      <c r="F4" s="185">
        <v>185</v>
      </c>
      <c r="G4" s="185">
        <v>89</v>
      </c>
      <c r="H4" s="188">
        <v>224</v>
      </c>
      <c r="I4" s="188">
        <f t="shared" si="0"/>
        <v>104.32669</v>
      </c>
      <c r="J4" s="191">
        <f t="shared" ref="J4:J21" si="2">F4*1.604</f>
        <v>296.74</v>
      </c>
      <c r="K4" s="191">
        <f t="shared" si="1"/>
        <v>110.36</v>
      </c>
      <c r="L4" s="189">
        <v>200</v>
      </c>
      <c r="M4" s="189">
        <v>104</v>
      </c>
      <c r="N4" s="187">
        <v>184</v>
      </c>
      <c r="O4" s="187">
        <v>88</v>
      </c>
      <c r="P4" s="190">
        <v>215</v>
      </c>
      <c r="Q4" s="190">
        <v>88</v>
      </c>
      <c r="R4" s="188">
        <v>200</v>
      </c>
      <c r="S4" s="188">
        <v>111</v>
      </c>
      <c r="T4" s="189">
        <v>225</v>
      </c>
      <c r="U4" s="189">
        <v>86</v>
      </c>
      <c r="V4" s="187">
        <v>280</v>
      </c>
      <c r="W4" s="187">
        <v>119</v>
      </c>
      <c r="X4" s="189">
        <v>300</v>
      </c>
      <c r="Y4" s="189">
        <v>127</v>
      </c>
      <c r="Z4" s="190">
        <v>200</v>
      </c>
      <c r="AA4" s="190">
        <v>106</v>
      </c>
      <c r="AB4" s="191">
        <v>87</v>
      </c>
      <c r="AC4" s="191">
        <f t="shared" ref="AC4:AC37" si="3">AE4*0.27895</f>
        <v>81.174449999999993</v>
      </c>
      <c r="AD4" s="202">
        <v>305</v>
      </c>
      <c r="AE4" s="202">
        <v>291</v>
      </c>
      <c r="AF4" s="191">
        <v>330</v>
      </c>
      <c r="AG4" s="191">
        <v>157</v>
      </c>
      <c r="AH4" s="182">
        <v>225</v>
      </c>
      <c r="AI4" s="182">
        <v>116</v>
      </c>
      <c r="AJ4" s="202">
        <v>23005</v>
      </c>
      <c r="AK4" s="202">
        <v>10135</v>
      </c>
      <c r="AM4" s="262"/>
    </row>
    <row r="5" spans="1:39" ht="13.8" x14ac:dyDescent="0.3">
      <c r="A5" s="97" t="s">
        <v>169</v>
      </c>
      <c r="B5" s="184">
        <v>310</v>
      </c>
      <c r="C5" s="184">
        <v>129</v>
      </c>
      <c r="D5" s="191">
        <v>280</v>
      </c>
      <c r="E5" s="191">
        <v>139</v>
      </c>
      <c r="F5" s="185">
        <v>225</v>
      </c>
      <c r="G5" s="185">
        <v>85</v>
      </c>
      <c r="H5" s="188">
        <v>273</v>
      </c>
      <c r="I5" s="188">
        <f t="shared" si="0"/>
        <v>99.63785</v>
      </c>
      <c r="J5" s="191">
        <f t="shared" si="2"/>
        <v>360.90000000000003</v>
      </c>
      <c r="K5" s="191">
        <f t="shared" si="1"/>
        <v>105.4</v>
      </c>
      <c r="L5" s="189">
        <v>225</v>
      </c>
      <c r="M5" s="189">
        <v>100</v>
      </c>
      <c r="N5" s="187">
        <v>212</v>
      </c>
      <c r="O5" s="187">
        <v>102</v>
      </c>
      <c r="P5" s="190">
        <v>250</v>
      </c>
      <c r="Q5" s="190">
        <v>102</v>
      </c>
      <c r="R5" s="188">
        <v>275</v>
      </c>
      <c r="S5" s="188">
        <v>133</v>
      </c>
      <c r="T5" s="189">
        <v>225</v>
      </c>
      <c r="U5" s="189">
        <v>120</v>
      </c>
      <c r="V5" s="187">
        <v>330</v>
      </c>
      <c r="W5" s="187">
        <v>161</v>
      </c>
      <c r="X5" s="189">
        <v>350</v>
      </c>
      <c r="Y5" s="189">
        <v>172</v>
      </c>
      <c r="Z5" s="190">
        <v>225</v>
      </c>
      <c r="AA5" s="190">
        <v>90</v>
      </c>
      <c r="AB5" s="191">
        <v>94</v>
      </c>
      <c r="AC5" s="191">
        <f t="shared" si="3"/>
        <v>69.737499999999997</v>
      </c>
      <c r="AD5" s="202">
        <v>325</v>
      </c>
      <c r="AE5" s="202">
        <v>250</v>
      </c>
      <c r="AF5" s="191">
        <v>330</v>
      </c>
      <c r="AG5" s="191">
        <v>149</v>
      </c>
      <c r="AH5" s="182">
        <v>250</v>
      </c>
      <c r="AI5" s="182">
        <v>116</v>
      </c>
      <c r="AJ5" s="202">
        <v>23005</v>
      </c>
      <c r="AK5" s="202">
        <v>10135</v>
      </c>
      <c r="AM5" s="262"/>
    </row>
    <row r="6" spans="1:39" ht="13.8" x14ac:dyDescent="0.3">
      <c r="A6" s="97" t="s">
        <v>228</v>
      </c>
      <c r="B6" s="184">
        <v>310</v>
      </c>
      <c r="C6" s="184">
        <v>168</v>
      </c>
      <c r="D6" s="191">
        <v>280</v>
      </c>
      <c r="E6" s="191">
        <v>139</v>
      </c>
      <c r="F6" s="185">
        <v>225</v>
      </c>
      <c r="G6" s="185">
        <v>100</v>
      </c>
      <c r="H6" s="188">
        <v>273</v>
      </c>
      <c r="I6" s="188">
        <f t="shared" si="0"/>
        <v>117.221</v>
      </c>
      <c r="J6" s="191">
        <v>361</v>
      </c>
      <c r="K6" s="191">
        <f t="shared" si="1"/>
        <v>124</v>
      </c>
      <c r="L6" s="189">
        <v>225</v>
      </c>
      <c r="M6" s="189">
        <v>117</v>
      </c>
      <c r="N6" s="187">
        <v>245</v>
      </c>
      <c r="O6" s="187">
        <v>117</v>
      </c>
      <c r="P6" s="190">
        <v>285</v>
      </c>
      <c r="Q6" s="190">
        <v>117</v>
      </c>
      <c r="R6" s="188">
        <v>275</v>
      </c>
      <c r="S6" s="188">
        <v>133</v>
      </c>
      <c r="T6" s="189">
        <v>225</v>
      </c>
      <c r="U6" s="189">
        <v>120</v>
      </c>
      <c r="V6" s="187">
        <v>330</v>
      </c>
      <c r="W6" s="187">
        <v>161</v>
      </c>
      <c r="X6" s="189">
        <v>350</v>
      </c>
      <c r="Y6" s="189">
        <v>172</v>
      </c>
      <c r="Z6" s="190">
        <v>225</v>
      </c>
      <c r="AA6" s="190">
        <v>90</v>
      </c>
      <c r="AB6" s="191">
        <v>94</v>
      </c>
      <c r="AC6" s="191">
        <f t="shared" si="3"/>
        <v>69.737499999999997</v>
      </c>
      <c r="AD6" s="202">
        <v>325</v>
      </c>
      <c r="AE6" s="202">
        <v>250</v>
      </c>
      <c r="AF6" s="191">
        <v>330</v>
      </c>
      <c r="AG6" s="191">
        <v>145</v>
      </c>
      <c r="AH6" s="182">
        <v>250</v>
      </c>
      <c r="AI6" s="182">
        <v>116</v>
      </c>
      <c r="AJ6" s="202">
        <v>23005</v>
      </c>
      <c r="AK6" s="202">
        <v>10135</v>
      </c>
      <c r="AM6" s="262"/>
    </row>
    <row r="7" spans="1:39" ht="13.8" x14ac:dyDescent="0.3">
      <c r="A7" s="97" t="s">
        <v>101</v>
      </c>
      <c r="B7" s="184">
        <v>305</v>
      </c>
      <c r="C7" s="184">
        <v>114</v>
      </c>
      <c r="D7" s="191">
        <v>260</v>
      </c>
      <c r="E7" s="191">
        <v>115</v>
      </c>
      <c r="F7" s="185">
        <v>210</v>
      </c>
      <c r="G7" s="185">
        <v>73</v>
      </c>
      <c r="H7" s="188">
        <v>254</v>
      </c>
      <c r="I7" s="188">
        <f t="shared" si="0"/>
        <v>85.571330000000003</v>
      </c>
      <c r="J7" s="191">
        <f t="shared" si="2"/>
        <v>336.84000000000003</v>
      </c>
      <c r="K7" s="191">
        <f t="shared" si="1"/>
        <v>90.52</v>
      </c>
      <c r="L7" s="189">
        <v>130</v>
      </c>
      <c r="M7" s="189">
        <v>88</v>
      </c>
      <c r="N7" s="187">
        <v>125</v>
      </c>
      <c r="O7" s="187">
        <v>60</v>
      </c>
      <c r="P7" s="190">
        <v>145</v>
      </c>
      <c r="Q7" s="190">
        <v>60</v>
      </c>
      <c r="R7" s="188">
        <v>200</v>
      </c>
      <c r="S7" s="188">
        <v>100</v>
      </c>
      <c r="T7" s="189">
        <v>225</v>
      </c>
      <c r="U7" s="189">
        <v>59</v>
      </c>
      <c r="V7" s="187">
        <v>305</v>
      </c>
      <c r="W7" s="187">
        <v>147</v>
      </c>
      <c r="X7" s="189">
        <v>325</v>
      </c>
      <c r="Y7" s="189">
        <v>157</v>
      </c>
      <c r="Z7" s="190">
        <v>225</v>
      </c>
      <c r="AA7" s="190">
        <v>70</v>
      </c>
      <c r="AB7" s="191">
        <v>86</v>
      </c>
      <c r="AC7" s="191">
        <f t="shared" si="3"/>
        <v>58.579499999999996</v>
      </c>
      <c r="AD7" s="202">
        <v>305</v>
      </c>
      <c r="AE7" s="202">
        <v>210</v>
      </c>
      <c r="AF7" s="191">
        <v>330</v>
      </c>
      <c r="AG7" s="191">
        <v>121</v>
      </c>
      <c r="AH7" s="182">
        <v>225</v>
      </c>
      <c r="AI7" s="182">
        <v>95</v>
      </c>
      <c r="AJ7" s="202">
        <v>21750</v>
      </c>
      <c r="AK7" s="202">
        <v>8766</v>
      </c>
      <c r="AM7" s="262"/>
    </row>
    <row r="8" spans="1:39" ht="13.8" x14ac:dyDescent="0.3">
      <c r="A8" s="97" t="s">
        <v>179</v>
      </c>
      <c r="B8" s="184">
        <v>305</v>
      </c>
      <c r="C8" s="184">
        <v>125</v>
      </c>
      <c r="D8" s="191">
        <v>260</v>
      </c>
      <c r="E8" s="191">
        <v>115</v>
      </c>
      <c r="F8" s="185">
        <v>210</v>
      </c>
      <c r="G8" s="185">
        <v>74</v>
      </c>
      <c r="H8" s="188">
        <v>254</v>
      </c>
      <c r="I8" s="188">
        <f t="shared" si="0"/>
        <v>86.743539999999996</v>
      </c>
      <c r="J8" s="191">
        <f t="shared" si="2"/>
        <v>336.84000000000003</v>
      </c>
      <c r="K8" s="191">
        <f t="shared" si="1"/>
        <v>91.76</v>
      </c>
      <c r="L8" s="189">
        <v>130</v>
      </c>
      <c r="M8" s="189">
        <v>87</v>
      </c>
      <c r="N8" s="187">
        <v>125</v>
      </c>
      <c r="O8" s="187">
        <v>60</v>
      </c>
      <c r="P8" s="190">
        <v>145</v>
      </c>
      <c r="Q8" s="190">
        <v>60</v>
      </c>
      <c r="R8" s="188">
        <v>200</v>
      </c>
      <c r="S8" s="188">
        <v>98</v>
      </c>
      <c r="T8" s="189">
        <v>225</v>
      </c>
      <c r="U8" s="189">
        <v>80</v>
      </c>
      <c r="V8" s="187">
        <v>305</v>
      </c>
      <c r="W8" s="187">
        <v>147</v>
      </c>
      <c r="X8" s="189">
        <v>325</v>
      </c>
      <c r="Y8" s="189">
        <v>157</v>
      </c>
      <c r="Z8" s="190">
        <v>225</v>
      </c>
      <c r="AA8" s="190">
        <v>70</v>
      </c>
      <c r="AB8" s="191">
        <v>86</v>
      </c>
      <c r="AC8" s="191">
        <f t="shared" si="3"/>
        <v>58.579499999999996</v>
      </c>
      <c r="AD8" s="202">
        <v>305</v>
      </c>
      <c r="AE8" s="202">
        <v>210</v>
      </c>
      <c r="AF8" s="191">
        <v>330</v>
      </c>
      <c r="AG8" s="191">
        <v>121</v>
      </c>
      <c r="AH8" s="182">
        <v>225</v>
      </c>
      <c r="AI8" s="182">
        <v>95</v>
      </c>
      <c r="AJ8" s="202">
        <v>21750</v>
      </c>
      <c r="AK8" s="202">
        <v>8766</v>
      </c>
      <c r="AM8" s="262"/>
    </row>
    <row r="9" spans="1:39" ht="13.8" x14ac:dyDescent="0.3">
      <c r="A9" s="97" t="s">
        <v>102</v>
      </c>
      <c r="B9" s="184">
        <v>275</v>
      </c>
      <c r="C9" s="184">
        <v>103</v>
      </c>
      <c r="D9" s="191">
        <v>230</v>
      </c>
      <c r="E9" s="191">
        <v>99</v>
      </c>
      <c r="F9" s="185">
        <v>165</v>
      </c>
      <c r="G9" s="185">
        <v>61</v>
      </c>
      <c r="H9" s="188">
        <v>200</v>
      </c>
      <c r="I9" s="188">
        <f t="shared" si="0"/>
        <v>71.504809999999992</v>
      </c>
      <c r="J9" s="191">
        <f t="shared" si="2"/>
        <v>264.66000000000003</v>
      </c>
      <c r="K9" s="191">
        <f t="shared" si="1"/>
        <v>75.64</v>
      </c>
      <c r="L9" s="189">
        <v>110</v>
      </c>
      <c r="M9" s="189">
        <v>72</v>
      </c>
      <c r="N9" s="187">
        <v>92</v>
      </c>
      <c r="O9" s="187">
        <v>44</v>
      </c>
      <c r="P9" s="190">
        <v>105</v>
      </c>
      <c r="Q9" s="190">
        <v>44</v>
      </c>
      <c r="R9" s="188">
        <v>175</v>
      </c>
      <c r="S9" s="188">
        <v>86</v>
      </c>
      <c r="T9" s="189">
        <v>200</v>
      </c>
      <c r="U9" s="189">
        <v>74</v>
      </c>
      <c r="V9" s="187">
        <v>258</v>
      </c>
      <c r="W9" s="187">
        <v>118</v>
      </c>
      <c r="X9" s="189">
        <v>275</v>
      </c>
      <c r="Y9" s="189">
        <v>126</v>
      </c>
      <c r="Z9" s="190">
        <v>175</v>
      </c>
      <c r="AA9" s="190">
        <v>69</v>
      </c>
      <c r="AB9" s="191">
        <v>68</v>
      </c>
      <c r="AC9" s="191">
        <f t="shared" si="3"/>
        <v>39.052999999999997</v>
      </c>
      <c r="AD9" s="202">
        <v>240</v>
      </c>
      <c r="AE9" s="202">
        <v>140</v>
      </c>
      <c r="AF9" s="191">
        <v>290</v>
      </c>
      <c r="AG9" s="191">
        <v>113</v>
      </c>
      <c r="AH9" s="182">
        <v>200</v>
      </c>
      <c r="AI9" s="182">
        <v>74</v>
      </c>
      <c r="AJ9" s="202">
        <v>18820</v>
      </c>
      <c r="AK9" s="202">
        <v>8735</v>
      </c>
      <c r="AM9" s="262"/>
    </row>
    <row r="10" spans="1:39" ht="13.8" x14ac:dyDescent="0.3">
      <c r="A10" s="97" t="s">
        <v>180</v>
      </c>
      <c r="B10" s="184">
        <v>275</v>
      </c>
      <c r="C10" s="184">
        <v>87</v>
      </c>
      <c r="D10" s="191">
        <v>230</v>
      </c>
      <c r="E10" s="191">
        <v>99</v>
      </c>
      <c r="F10" s="185">
        <v>165</v>
      </c>
      <c r="G10" s="185">
        <v>59</v>
      </c>
      <c r="H10" s="188">
        <v>200</v>
      </c>
      <c r="I10" s="188">
        <f t="shared" si="0"/>
        <v>69.160389999999992</v>
      </c>
      <c r="J10" s="191">
        <f t="shared" si="2"/>
        <v>264.66000000000003</v>
      </c>
      <c r="K10" s="191">
        <f t="shared" si="1"/>
        <v>73.16</v>
      </c>
      <c r="L10" s="189">
        <v>110</v>
      </c>
      <c r="M10" s="189">
        <v>69</v>
      </c>
      <c r="N10" s="187">
        <v>92</v>
      </c>
      <c r="O10" s="187">
        <v>44</v>
      </c>
      <c r="P10" s="190">
        <v>105</v>
      </c>
      <c r="Q10" s="190">
        <v>44</v>
      </c>
      <c r="R10" s="188">
        <v>175</v>
      </c>
      <c r="S10" s="188">
        <v>86</v>
      </c>
      <c r="T10" s="189">
        <v>200</v>
      </c>
      <c r="U10" s="189">
        <v>70</v>
      </c>
      <c r="V10" s="187">
        <v>258</v>
      </c>
      <c r="W10" s="187">
        <v>118</v>
      </c>
      <c r="X10" s="189">
        <v>275</v>
      </c>
      <c r="Y10" s="189">
        <v>126</v>
      </c>
      <c r="Z10" s="190">
        <v>175</v>
      </c>
      <c r="AA10" s="190">
        <v>67</v>
      </c>
      <c r="AB10" s="191">
        <v>68</v>
      </c>
      <c r="AC10" s="191">
        <f t="shared" si="3"/>
        <v>39.052999999999997</v>
      </c>
      <c r="AD10" s="202">
        <v>240</v>
      </c>
      <c r="AE10" s="202">
        <v>140</v>
      </c>
      <c r="AF10" s="191">
        <v>290</v>
      </c>
      <c r="AG10" s="191">
        <v>128</v>
      </c>
      <c r="AH10" s="182">
        <v>200</v>
      </c>
      <c r="AI10" s="182">
        <v>74</v>
      </c>
      <c r="AJ10" s="202">
        <v>18820</v>
      </c>
      <c r="AK10" s="202">
        <v>7766</v>
      </c>
      <c r="AM10" s="262"/>
    </row>
    <row r="11" spans="1:39" ht="13.8" x14ac:dyDescent="0.3">
      <c r="A11" s="97" t="s">
        <v>103</v>
      </c>
      <c r="B11" s="184">
        <v>245</v>
      </c>
      <c r="C11" s="184">
        <v>69</v>
      </c>
      <c r="D11" s="191">
        <v>200</v>
      </c>
      <c r="E11" s="191">
        <v>75</v>
      </c>
      <c r="F11" s="185">
        <v>125</v>
      </c>
      <c r="G11" s="185">
        <v>35</v>
      </c>
      <c r="H11" s="188">
        <v>151</v>
      </c>
      <c r="I11" s="188">
        <f t="shared" si="0"/>
        <v>41.027349999999998</v>
      </c>
      <c r="J11" s="191">
        <f t="shared" si="2"/>
        <v>200.5</v>
      </c>
      <c r="K11" s="191">
        <f t="shared" si="1"/>
        <v>43.4</v>
      </c>
      <c r="L11" s="189">
        <v>150</v>
      </c>
      <c r="M11" s="189">
        <v>41</v>
      </c>
      <c r="N11" s="187">
        <v>76</v>
      </c>
      <c r="O11" s="187">
        <v>49</v>
      </c>
      <c r="P11" s="190">
        <v>84</v>
      </c>
      <c r="Q11" s="190">
        <v>49</v>
      </c>
      <c r="R11" s="188">
        <v>140</v>
      </c>
      <c r="S11" s="188">
        <v>60</v>
      </c>
      <c r="T11" s="189">
        <v>150</v>
      </c>
      <c r="U11" s="189">
        <v>55</v>
      </c>
      <c r="V11" s="187">
        <v>150</v>
      </c>
      <c r="W11" s="187">
        <v>64</v>
      </c>
      <c r="X11" s="189">
        <v>160</v>
      </c>
      <c r="Y11" s="189">
        <v>68</v>
      </c>
      <c r="Z11" s="190">
        <v>150</v>
      </c>
      <c r="AA11" s="190">
        <v>55</v>
      </c>
      <c r="AB11" s="191">
        <v>36</v>
      </c>
      <c r="AC11" s="191">
        <f t="shared" si="3"/>
        <v>18.968599999999999</v>
      </c>
      <c r="AD11" s="202">
        <v>130</v>
      </c>
      <c r="AE11" s="202">
        <v>68</v>
      </c>
      <c r="AF11" s="191">
        <v>215</v>
      </c>
      <c r="AG11" s="191">
        <v>83</v>
      </c>
      <c r="AH11" s="182">
        <v>160</v>
      </c>
      <c r="AI11" s="182">
        <v>52</v>
      </c>
      <c r="AJ11" s="202">
        <v>16000</v>
      </c>
      <c r="AK11" s="202">
        <v>5000</v>
      </c>
      <c r="AM11" s="262"/>
    </row>
    <row r="12" spans="1:39" ht="13.8" x14ac:dyDescent="0.3">
      <c r="A12" s="97" t="s">
        <v>151</v>
      </c>
      <c r="B12" s="184">
        <v>195</v>
      </c>
      <c r="C12" s="184">
        <v>65</v>
      </c>
      <c r="D12" s="191">
        <v>150</v>
      </c>
      <c r="E12" s="191">
        <v>60</v>
      </c>
      <c r="F12" s="185">
        <v>75</v>
      </c>
      <c r="G12" s="185">
        <v>25</v>
      </c>
      <c r="H12" s="188">
        <v>91</v>
      </c>
      <c r="I12" s="188">
        <f t="shared" si="0"/>
        <v>29.305250000000001</v>
      </c>
      <c r="J12" s="191">
        <f t="shared" si="2"/>
        <v>120.30000000000001</v>
      </c>
      <c r="K12" s="191">
        <f t="shared" si="1"/>
        <v>31</v>
      </c>
      <c r="L12" s="189">
        <v>75</v>
      </c>
      <c r="M12" s="189">
        <v>29</v>
      </c>
      <c r="N12" s="187">
        <v>62</v>
      </c>
      <c r="O12" s="187">
        <v>30</v>
      </c>
      <c r="P12" s="190">
        <v>72</v>
      </c>
      <c r="Q12" s="190">
        <v>30</v>
      </c>
      <c r="R12" s="188">
        <v>75</v>
      </c>
      <c r="S12" s="188">
        <v>40</v>
      </c>
      <c r="T12" s="189">
        <v>85</v>
      </c>
      <c r="U12" s="189">
        <v>35</v>
      </c>
      <c r="V12" s="187">
        <v>104</v>
      </c>
      <c r="W12" s="187">
        <v>50</v>
      </c>
      <c r="X12" s="189">
        <v>110</v>
      </c>
      <c r="Y12" s="189">
        <v>54</v>
      </c>
      <c r="Z12" s="190">
        <v>75</v>
      </c>
      <c r="AA12" s="190">
        <v>35</v>
      </c>
      <c r="AB12" s="191">
        <v>29</v>
      </c>
      <c r="AC12" s="191">
        <f t="shared" si="3"/>
        <v>13.947499999999998</v>
      </c>
      <c r="AD12" s="202">
        <v>110</v>
      </c>
      <c r="AE12" s="202">
        <v>50</v>
      </c>
      <c r="AF12" s="191">
        <v>190</v>
      </c>
      <c r="AG12" s="191">
        <v>60</v>
      </c>
      <c r="AH12" s="182">
        <v>140</v>
      </c>
      <c r="AI12" s="182">
        <v>39</v>
      </c>
      <c r="AJ12" s="202">
        <v>14000</v>
      </c>
      <c r="AK12" s="202">
        <v>3000</v>
      </c>
      <c r="AM12" s="262"/>
    </row>
    <row r="13" spans="1:39" ht="13.8" x14ac:dyDescent="0.3">
      <c r="A13" s="97" t="s">
        <v>170</v>
      </c>
      <c r="B13" s="184">
        <v>310</v>
      </c>
      <c r="C13" s="184">
        <v>121</v>
      </c>
      <c r="D13" s="191">
        <v>280</v>
      </c>
      <c r="E13" s="191">
        <v>139</v>
      </c>
      <c r="F13" s="185">
        <v>225</v>
      </c>
      <c r="G13" s="185">
        <v>93</v>
      </c>
      <c r="H13" s="188">
        <v>273</v>
      </c>
      <c r="I13" s="188">
        <f t="shared" si="0"/>
        <v>109.01553</v>
      </c>
      <c r="J13" s="191">
        <f t="shared" si="2"/>
        <v>360.90000000000003</v>
      </c>
      <c r="K13" s="191">
        <f t="shared" si="1"/>
        <v>115.32</v>
      </c>
      <c r="L13" s="189">
        <v>225</v>
      </c>
      <c r="M13" s="189">
        <v>109</v>
      </c>
      <c r="N13" s="187">
        <v>212</v>
      </c>
      <c r="O13" s="187">
        <v>102</v>
      </c>
      <c r="P13" s="190">
        <v>248</v>
      </c>
      <c r="Q13" s="190">
        <v>102</v>
      </c>
      <c r="R13" s="188">
        <v>275</v>
      </c>
      <c r="S13" s="188">
        <v>133</v>
      </c>
      <c r="T13" s="189">
        <v>225</v>
      </c>
      <c r="U13" s="189">
        <v>120</v>
      </c>
      <c r="V13" s="187">
        <v>328</v>
      </c>
      <c r="W13" s="187">
        <v>161</v>
      </c>
      <c r="X13" s="189">
        <v>350</v>
      </c>
      <c r="Y13" s="189">
        <v>172</v>
      </c>
      <c r="Z13" s="190">
        <v>225</v>
      </c>
      <c r="AA13" s="190">
        <v>90</v>
      </c>
      <c r="AB13" s="191">
        <v>94</v>
      </c>
      <c r="AC13" s="191">
        <f t="shared" si="3"/>
        <v>69.737499999999997</v>
      </c>
      <c r="AD13" s="202">
        <v>325</v>
      </c>
      <c r="AE13" s="202">
        <v>250</v>
      </c>
      <c r="AF13" s="191">
        <v>330</v>
      </c>
      <c r="AG13" s="191">
        <v>149</v>
      </c>
      <c r="AH13" s="182">
        <v>250</v>
      </c>
      <c r="AI13" s="182">
        <v>116</v>
      </c>
      <c r="AJ13" s="202">
        <v>23005</v>
      </c>
      <c r="AK13" s="202">
        <v>10135</v>
      </c>
      <c r="AM13" s="262"/>
    </row>
    <row r="14" spans="1:39" ht="13.8" x14ac:dyDescent="0.3">
      <c r="A14" s="194" t="s">
        <v>104</v>
      </c>
      <c r="B14" s="184">
        <v>305</v>
      </c>
      <c r="C14" s="184">
        <v>109</v>
      </c>
      <c r="D14" s="191">
        <v>260</v>
      </c>
      <c r="E14" s="191">
        <v>115</v>
      </c>
      <c r="F14" s="185">
        <v>185</v>
      </c>
      <c r="G14" s="185">
        <v>63</v>
      </c>
      <c r="H14" s="188">
        <v>224</v>
      </c>
      <c r="I14" s="188">
        <f t="shared" si="0"/>
        <v>73.849229999999991</v>
      </c>
      <c r="J14" s="191">
        <f t="shared" si="2"/>
        <v>296.74</v>
      </c>
      <c r="K14" s="191">
        <f t="shared" si="1"/>
        <v>78.12</v>
      </c>
      <c r="L14" s="189">
        <v>200</v>
      </c>
      <c r="M14" s="189">
        <v>74</v>
      </c>
      <c r="N14" s="187">
        <v>94</v>
      </c>
      <c r="O14" s="187">
        <v>45</v>
      </c>
      <c r="P14" s="190">
        <v>110</v>
      </c>
      <c r="Q14" s="190">
        <v>45</v>
      </c>
      <c r="R14" s="188">
        <v>200</v>
      </c>
      <c r="S14" s="188">
        <v>127</v>
      </c>
      <c r="T14" s="189">
        <v>225</v>
      </c>
      <c r="U14" s="189">
        <v>74</v>
      </c>
      <c r="V14" s="187">
        <v>304</v>
      </c>
      <c r="W14" s="187">
        <v>131</v>
      </c>
      <c r="X14" s="189">
        <v>325</v>
      </c>
      <c r="Y14" s="189">
        <v>140</v>
      </c>
      <c r="Z14" s="190">
        <v>200</v>
      </c>
      <c r="AA14" s="190">
        <v>66</v>
      </c>
      <c r="AB14" s="191">
        <v>75</v>
      </c>
      <c r="AC14" s="191">
        <f t="shared" si="3"/>
        <v>58.579499999999996</v>
      </c>
      <c r="AD14" s="202">
        <v>305</v>
      </c>
      <c r="AE14" s="202">
        <v>210</v>
      </c>
      <c r="AF14" s="191">
        <v>330</v>
      </c>
      <c r="AG14" s="191">
        <v>121</v>
      </c>
      <c r="AH14" s="182">
        <v>225</v>
      </c>
      <c r="AI14" s="182">
        <v>95</v>
      </c>
      <c r="AJ14" s="202">
        <v>21750</v>
      </c>
      <c r="AK14" s="202">
        <v>8532</v>
      </c>
      <c r="AM14" s="262"/>
    </row>
    <row r="15" spans="1:39" ht="13.8" x14ac:dyDescent="0.3">
      <c r="A15" s="194" t="s">
        <v>105</v>
      </c>
      <c r="B15" s="184">
        <v>275</v>
      </c>
      <c r="C15" s="184">
        <v>97</v>
      </c>
      <c r="D15" s="191">
        <v>230</v>
      </c>
      <c r="E15" s="191">
        <v>99</v>
      </c>
      <c r="F15" s="185">
        <v>165</v>
      </c>
      <c r="G15" s="185">
        <v>62</v>
      </c>
      <c r="H15" s="188">
        <v>200</v>
      </c>
      <c r="I15" s="188">
        <f t="shared" si="0"/>
        <v>72.677019999999999</v>
      </c>
      <c r="J15" s="191">
        <f t="shared" si="2"/>
        <v>264.66000000000003</v>
      </c>
      <c r="K15" s="191">
        <f t="shared" si="1"/>
        <v>76.88</v>
      </c>
      <c r="L15" s="189">
        <v>175</v>
      </c>
      <c r="M15" s="189">
        <v>73</v>
      </c>
      <c r="N15" s="187">
        <v>92</v>
      </c>
      <c r="O15" s="187">
        <v>44</v>
      </c>
      <c r="P15" s="190">
        <v>106</v>
      </c>
      <c r="Q15" s="190">
        <v>44</v>
      </c>
      <c r="R15" s="188">
        <v>175</v>
      </c>
      <c r="S15" s="188">
        <v>86</v>
      </c>
      <c r="T15" s="189">
        <v>200</v>
      </c>
      <c r="U15" s="189">
        <v>71</v>
      </c>
      <c r="V15" s="187">
        <v>258</v>
      </c>
      <c r="W15" s="187">
        <v>118</v>
      </c>
      <c r="X15" s="189">
        <v>275</v>
      </c>
      <c r="Y15" s="189">
        <v>126</v>
      </c>
      <c r="Z15" s="190">
        <v>175</v>
      </c>
      <c r="AA15" s="190">
        <v>67</v>
      </c>
      <c r="AB15" s="191">
        <v>68</v>
      </c>
      <c r="AC15" s="191">
        <f t="shared" si="3"/>
        <v>35.426649999999995</v>
      </c>
      <c r="AD15" s="202">
        <v>240</v>
      </c>
      <c r="AE15" s="202">
        <v>127</v>
      </c>
      <c r="AF15" s="191">
        <v>290</v>
      </c>
      <c r="AG15" s="191">
        <v>115</v>
      </c>
      <c r="AH15" s="182">
        <v>200</v>
      </c>
      <c r="AI15" s="182">
        <v>83</v>
      </c>
      <c r="AJ15" s="202">
        <v>18820</v>
      </c>
      <c r="AK15" s="202">
        <v>5847</v>
      </c>
      <c r="AM15" s="262"/>
    </row>
    <row r="16" spans="1:39" ht="13.8" x14ac:dyDescent="0.3">
      <c r="A16" s="194" t="s">
        <v>106</v>
      </c>
      <c r="B16" s="184">
        <v>245</v>
      </c>
      <c r="C16" s="184">
        <v>65</v>
      </c>
      <c r="D16" s="191">
        <v>200</v>
      </c>
      <c r="E16" s="191">
        <v>75</v>
      </c>
      <c r="F16" s="185">
        <v>125</v>
      </c>
      <c r="G16" s="185">
        <v>35</v>
      </c>
      <c r="H16" s="188">
        <v>151</v>
      </c>
      <c r="I16" s="188">
        <f t="shared" si="0"/>
        <v>41.027349999999998</v>
      </c>
      <c r="J16" s="191">
        <f t="shared" si="2"/>
        <v>200.5</v>
      </c>
      <c r="K16" s="191">
        <f t="shared" si="1"/>
        <v>43.4</v>
      </c>
      <c r="L16" s="189">
        <v>150</v>
      </c>
      <c r="M16" s="189">
        <v>41</v>
      </c>
      <c r="N16" s="187">
        <v>62</v>
      </c>
      <c r="O16" s="187">
        <v>30</v>
      </c>
      <c r="P16" s="190">
        <v>72</v>
      </c>
      <c r="Q16" s="190">
        <v>30</v>
      </c>
      <c r="R16" s="188">
        <v>140</v>
      </c>
      <c r="S16" s="188">
        <v>60</v>
      </c>
      <c r="T16" s="189">
        <v>150</v>
      </c>
      <c r="U16" s="189">
        <v>55</v>
      </c>
      <c r="V16" s="187">
        <v>150</v>
      </c>
      <c r="W16" s="187">
        <v>64</v>
      </c>
      <c r="X16" s="189">
        <v>160</v>
      </c>
      <c r="Y16" s="189">
        <v>68</v>
      </c>
      <c r="Z16" s="190">
        <v>150</v>
      </c>
      <c r="AA16" s="190">
        <v>55</v>
      </c>
      <c r="AB16" s="191">
        <v>36</v>
      </c>
      <c r="AC16" s="191">
        <f t="shared" si="3"/>
        <v>18.968599999999999</v>
      </c>
      <c r="AD16" s="202">
        <v>130</v>
      </c>
      <c r="AE16" s="202">
        <v>68</v>
      </c>
      <c r="AF16" s="191">
        <v>215</v>
      </c>
      <c r="AG16" s="191">
        <v>83</v>
      </c>
      <c r="AH16" s="182">
        <v>160</v>
      </c>
      <c r="AI16" s="182">
        <v>52</v>
      </c>
      <c r="AJ16" s="202">
        <v>16000</v>
      </c>
      <c r="AK16" s="202">
        <v>5000</v>
      </c>
      <c r="AM16" s="262"/>
    </row>
    <row r="17" spans="1:39" ht="13.8" x14ac:dyDescent="0.3">
      <c r="A17" s="194" t="s">
        <v>248</v>
      </c>
      <c r="B17" s="184">
        <v>305</v>
      </c>
      <c r="C17" s="184">
        <v>109</v>
      </c>
      <c r="D17" s="191">
        <v>260</v>
      </c>
      <c r="E17" s="191">
        <v>115</v>
      </c>
      <c r="F17" s="185">
        <v>185</v>
      </c>
      <c r="G17" s="185">
        <v>63</v>
      </c>
      <c r="H17" s="188">
        <v>224</v>
      </c>
      <c r="I17" s="188">
        <f t="shared" ref="I17:I18" si="4">G17*1.17221</f>
        <v>73.849229999999991</v>
      </c>
      <c r="J17" s="191">
        <f t="shared" ref="J17:J18" si="5">F17*1.604</f>
        <v>296.74</v>
      </c>
      <c r="K17" s="191">
        <f t="shared" ref="K17:K18" si="6">G17*1.24</f>
        <v>78.12</v>
      </c>
      <c r="L17" s="189">
        <v>200</v>
      </c>
      <c r="M17" s="189">
        <v>74</v>
      </c>
      <c r="N17" s="187">
        <v>94</v>
      </c>
      <c r="O17" s="187">
        <v>45</v>
      </c>
      <c r="P17" s="190">
        <v>110</v>
      </c>
      <c r="Q17" s="190">
        <v>45</v>
      </c>
      <c r="R17" s="188">
        <v>200</v>
      </c>
      <c r="S17" s="188">
        <v>127</v>
      </c>
      <c r="T17" s="189">
        <v>225</v>
      </c>
      <c r="U17" s="189">
        <v>74</v>
      </c>
      <c r="V17" s="187">
        <v>304</v>
      </c>
      <c r="W17" s="187">
        <v>131</v>
      </c>
      <c r="X17" s="189">
        <v>325</v>
      </c>
      <c r="Y17" s="189">
        <v>140</v>
      </c>
      <c r="Z17" s="190">
        <v>200</v>
      </c>
      <c r="AA17" s="190">
        <v>66</v>
      </c>
      <c r="AB17" s="191">
        <v>75</v>
      </c>
      <c r="AC17" s="191">
        <f t="shared" ref="AC17:AC18" si="7">AE17*0.27895</f>
        <v>58.579499999999996</v>
      </c>
      <c r="AD17" s="202">
        <v>305</v>
      </c>
      <c r="AE17" s="202">
        <v>210</v>
      </c>
      <c r="AF17" s="191">
        <v>330</v>
      </c>
      <c r="AG17" s="191">
        <v>121</v>
      </c>
      <c r="AH17" s="182">
        <v>225</v>
      </c>
      <c r="AI17" s="182">
        <v>95</v>
      </c>
      <c r="AJ17" s="202">
        <v>21750</v>
      </c>
      <c r="AK17" s="202">
        <v>8532</v>
      </c>
      <c r="AM17" s="262"/>
    </row>
    <row r="18" spans="1:39" ht="13.8" x14ac:dyDescent="0.3">
      <c r="A18" s="194" t="s">
        <v>247</v>
      </c>
      <c r="B18" s="184">
        <v>310</v>
      </c>
      <c r="C18" s="184">
        <v>121</v>
      </c>
      <c r="D18" s="191">
        <v>280</v>
      </c>
      <c r="E18" s="191">
        <v>139</v>
      </c>
      <c r="F18" s="185">
        <v>225</v>
      </c>
      <c r="G18" s="185">
        <v>93</v>
      </c>
      <c r="H18" s="188">
        <v>273</v>
      </c>
      <c r="I18" s="188">
        <f t="shared" si="4"/>
        <v>109.01553</v>
      </c>
      <c r="J18" s="191">
        <f t="shared" si="5"/>
        <v>360.90000000000003</v>
      </c>
      <c r="K18" s="191">
        <f t="shared" si="6"/>
        <v>115.32</v>
      </c>
      <c r="L18" s="189">
        <v>225</v>
      </c>
      <c r="M18" s="189">
        <v>109</v>
      </c>
      <c r="N18" s="187">
        <v>212</v>
      </c>
      <c r="O18" s="187">
        <v>102</v>
      </c>
      <c r="P18" s="190">
        <v>248</v>
      </c>
      <c r="Q18" s="190">
        <v>102</v>
      </c>
      <c r="R18" s="188">
        <v>275</v>
      </c>
      <c r="S18" s="188">
        <v>133</v>
      </c>
      <c r="T18" s="189">
        <v>225</v>
      </c>
      <c r="U18" s="189">
        <v>120</v>
      </c>
      <c r="V18" s="187">
        <v>328</v>
      </c>
      <c r="W18" s="187">
        <v>161</v>
      </c>
      <c r="X18" s="189">
        <v>350</v>
      </c>
      <c r="Y18" s="189">
        <v>172</v>
      </c>
      <c r="Z18" s="190">
        <v>225</v>
      </c>
      <c r="AA18" s="190">
        <v>90</v>
      </c>
      <c r="AB18" s="191">
        <v>94</v>
      </c>
      <c r="AC18" s="191">
        <f t="shared" si="7"/>
        <v>69.737499999999997</v>
      </c>
      <c r="AD18" s="202">
        <v>325</v>
      </c>
      <c r="AE18" s="202">
        <v>250</v>
      </c>
      <c r="AF18" s="191">
        <v>330</v>
      </c>
      <c r="AG18" s="191">
        <v>149</v>
      </c>
      <c r="AH18" s="182">
        <v>250</v>
      </c>
      <c r="AI18" s="182">
        <v>116</v>
      </c>
      <c r="AJ18" s="202">
        <v>23005</v>
      </c>
      <c r="AK18" s="202">
        <v>10135</v>
      </c>
      <c r="AM18" s="262"/>
    </row>
    <row r="19" spans="1:39" ht="13.8" x14ac:dyDescent="0.3">
      <c r="A19" s="194" t="s">
        <v>143</v>
      </c>
      <c r="B19" s="184">
        <v>305</v>
      </c>
      <c r="C19" s="184">
        <v>106</v>
      </c>
      <c r="D19" s="191">
        <v>260</v>
      </c>
      <c r="E19" s="191">
        <v>115</v>
      </c>
      <c r="F19" s="185">
        <v>185</v>
      </c>
      <c r="G19" s="185">
        <v>58</v>
      </c>
      <c r="H19" s="188">
        <v>224</v>
      </c>
      <c r="I19" s="188">
        <f t="shared" si="0"/>
        <v>67.98818</v>
      </c>
      <c r="J19" s="191">
        <f t="shared" si="2"/>
        <v>296.74</v>
      </c>
      <c r="K19" s="191">
        <f t="shared" si="1"/>
        <v>71.92</v>
      </c>
      <c r="L19" s="189">
        <v>200</v>
      </c>
      <c r="M19" s="189">
        <v>68</v>
      </c>
      <c r="N19" s="187">
        <v>125</v>
      </c>
      <c r="O19" s="187">
        <v>60</v>
      </c>
      <c r="P19" s="190">
        <v>145</v>
      </c>
      <c r="Q19" s="190">
        <v>60</v>
      </c>
      <c r="R19" s="188">
        <v>200</v>
      </c>
      <c r="S19" s="188">
        <v>91</v>
      </c>
      <c r="T19" s="189">
        <v>225</v>
      </c>
      <c r="U19" s="189">
        <v>65</v>
      </c>
      <c r="V19" s="187">
        <v>258</v>
      </c>
      <c r="W19" s="187">
        <v>119</v>
      </c>
      <c r="X19" s="189">
        <v>275</v>
      </c>
      <c r="Y19" s="189">
        <v>127</v>
      </c>
      <c r="Z19" s="190">
        <v>200</v>
      </c>
      <c r="AA19" s="190">
        <v>60</v>
      </c>
      <c r="AB19" s="191">
        <v>86</v>
      </c>
      <c r="AC19" s="191">
        <f t="shared" si="3"/>
        <v>58.579499999999996</v>
      </c>
      <c r="AD19" s="202">
        <v>305</v>
      </c>
      <c r="AE19" s="202">
        <v>210</v>
      </c>
      <c r="AF19" s="191">
        <v>330</v>
      </c>
      <c r="AG19" s="191">
        <v>121</v>
      </c>
      <c r="AH19" s="182">
        <v>225</v>
      </c>
      <c r="AI19" s="182">
        <v>95</v>
      </c>
      <c r="AJ19" s="202">
        <v>23005</v>
      </c>
      <c r="AK19" s="202">
        <v>8000</v>
      </c>
      <c r="AL19" s="371">
        <v>1</v>
      </c>
      <c r="AM19" s="262"/>
    </row>
    <row r="20" spans="1:39" ht="13.8" x14ac:dyDescent="0.3">
      <c r="A20" s="194" t="s">
        <v>249</v>
      </c>
      <c r="B20" s="184">
        <v>305</v>
      </c>
      <c r="C20" s="184">
        <v>106</v>
      </c>
      <c r="D20" s="191">
        <v>260</v>
      </c>
      <c r="E20" s="191">
        <v>115</v>
      </c>
      <c r="F20" s="185">
        <v>185</v>
      </c>
      <c r="G20" s="185">
        <v>58</v>
      </c>
      <c r="H20" s="188">
        <v>224</v>
      </c>
      <c r="I20" s="188">
        <f t="shared" ref="I20" si="8">G20*1.17221</f>
        <v>67.98818</v>
      </c>
      <c r="J20" s="191">
        <f t="shared" ref="J20" si="9">F20*1.604</f>
        <v>296.74</v>
      </c>
      <c r="K20" s="191">
        <f t="shared" ref="K20" si="10">G20*1.24</f>
        <v>71.92</v>
      </c>
      <c r="L20" s="189">
        <v>200</v>
      </c>
      <c r="M20" s="189">
        <v>68</v>
      </c>
      <c r="N20" s="187">
        <v>125</v>
      </c>
      <c r="O20" s="187">
        <v>60</v>
      </c>
      <c r="P20" s="190">
        <v>145</v>
      </c>
      <c r="Q20" s="190">
        <v>60</v>
      </c>
      <c r="R20" s="188">
        <v>200</v>
      </c>
      <c r="S20" s="188">
        <v>91</v>
      </c>
      <c r="T20" s="189">
        <v>225</v>
      </c>
      <c r="U20" s="189">
        <v>65</v>
      </c>
      <c r="V20" s="187">
        <v>258</v>
      </c>
      <c r="W20" s="187">
        <v>119</v>
      </c>
      <c r="X20" s="189">
        <v>275</v>
      </c>
      <c r="Y20" s="189">
        <v>127</v>
      </c>
      <c r="Z20" s="190">
        <v>200</v>
      </c>
      <c r="AA20" s="190">
        <v>60</v>
      </c>
      <c r="AB20" s="191">
        <v>86</v>
      </c>
      <c r="AC20" s="191">
        <f t="shared" ref="AC20" si="11">AE20*0.27895</f>
        <v>58.579499999999996</v>
      </c>
      <c r="AD20" s="202">
        <v>305</v>
      </c>
      <c r="AE20" s="202">
        <v>210</v>
      </c>
      <c r="AF20" s="191">
        <v>330</v>
      </c>
      <c r="AG20" s="191">
        <v>121</v>
      </c>
      <c r="AH20" s="182">
        <v>225</v>
      </c>
      <c r="AI20" s="182">
        <v>95</v>
      </c>
      <c r="AJ20" s="202">
        <v>23005</v>
      </c>
      <c r="AK20" s="202">
        <v>8000</v>
      </c>
      <c r="AL20" s="371">
        <v>1</v>
      </c>
      <c r="AM20" s="262"/>
    </row>
    <row r="21" spans="1:39" ht="13.8" x14ac:dyDescent="0.3">
      <c r="A21" s="97" t="s">
        <v>162</v>
      </c>
      <c r="B21" s="184">
        <v>305</v>
      </c>
      <c r="C21" s="184">
        <v>125</v>
      </c>
      <c r="D21" s="191">
        <v>260</v>
      </c>
      <c r="E21" s="191">
        <v>115</v>
      </c>
      <c r="F21" s="185">
        <v>185</v>
      </c>
      <c r="G21" s="185">
        <v>73</v>
      </c>
      <c r="H21" s="188">
        <v>224</v>
      </c>
      <c r="I21" s="188">
        <f t="shared" si="0"/>
        <v>85.571330000000003</v>
      </c>
      <c r="J21" s="191">
        <f t="shared" si="2"/>
        <v>296.74</v>
      </c>
      <c r="K21" s="191">
        <f t="shared" si="1"/>
        <v>90.52</v>
      </c>
      <c r="L21" s="189">
        <v>200</v>
      </c>
      <c r="M21" s="189">
        <v>88</v>
      </c>
      <c r="N21" s="187">
        <v>125</v>
      </c>
      <c r="O21" s="187">
        <v>60</v>
      </c>
      <c r="P21" s="190">
        <v>145</v>
      </c>
      <c r="Q21" s="190">
        <v>60</v>
      </c>
      <c r="R21" s="188">
        <v>200</v>
      </c>
      <c r="S21" s="188">
        <v>100</v>
      </c>
      <c r="T21" s="189">
        <v>225</v>
      </c>
      <c r="U21" s="189">
        <v>74</v>
      </c>
      <c r="V21" s="187">
        <v>258</v>
      </c>
      <c r="W21" s="187">
        <v>119</v>
      </c>
      <c r="X21" s="189">
        <v>275</v>
      </c>
      <c r="Y21" s="189">
        <v>127</v>
      </c>
      <c r="Z21" s="190">
        <v>200</v>
      </c>
      <c r="AA21" s="190">
        <v>70</v>
      </c>
      <c r="AB21" s="191">
        <v>86</v>
      </c>
      <c r="AC21" s="191">
        <f t="shared" si="3"/>
        <v>58.579499999999996</v>
      </c>
      <c r="AD21" s="202">
        <v>305</v>
      </c>
      <c r="AE21" s="202">
        <v>210</v>
      </c>
      <c r="AF21" s="191">
        <v>290</v>
      </c>
      <c r="AG21" s="191">
        <v>121</v>
      </c>
      <c r="AH21" s="182">
        <v>200</v>
      </c>
      <c r="AI21" s="182">
        <v>95</v>
      </c>
      <c r="AJ21" s="202">
        <v>23005</v>
      </c>
      <c r="AK21" s="202">
        <v>8000</v>
      </c>
      <c r="AL21" s="371">
        <v>1</v>
      </c>
      <c r="AM21" s="262"/>
    </row>
    <row r="22" spans="1:39" ht="13.8" x14ac:dyDescent="0.3">
      <c r="A22" s="97" t="s">
        <v>250</v>
      </c>
      <c r="B22" s="184">
        <v>305</v>
      </c>
      <c r="C22" s="184">
        <v>125</v>
      </c>
      <c r="D22" s="191">
        <v>260</v>
      </c>
      <c r="E22" s="191">
        <v>115</v>
      </c>
      <c r="F22" s="185">
        <v>185</v>
      </c>
      <c r="G22" s="185">
        <v>73</v>
      </c>
      <c r="H22" s="188">
        <v>224</v>
      </c>
      <c r="I22" s="188">
        <f t="shared" ref="I22:I23" si="12">G22*1.17221</f>
        <v>85.571330000000003</v>
      </c>
      <c r="J22" s="191">
        <f t="shared" ref="J22:J23" si="13">F22*1.604</f>
        <v>296.74</v>
      </c>
      <c r="K22" s="191">
        <f t="shared" ref="K22:K23" si="14">G22*1.24</f>
        <v>90.52</v>
      </c>
      <c r="L22" s="189">
        <v>200</v>
      </c>
      <c r="M22" s="189">
        <v>88</v>
      </c>
      <c r="N22" s="187">
        <v>125</v>
      </c>
      <c r="O22" s="187">
        <v>60</v>
      </c>
      <c r="P22" s="190">
        <v>145</v>
      </c>
      <c r="Q22" s="190">
        <v>60</v>
      </c>
      <c r="R22" s="188">
        <v>200</v>
      </c>
      <c r="S22" s="188">
        <v>100</v>
      </c>
      <c r="T22" s="189">
        <v>225</v>
      </c>
      <c r="U22" s="189">
        <v>74</v>
      </c>
      <c r="V22" s="187">
        <v>258</v>
      </c>
      <c r="W22" s="187">
        <v>119</v>
      </c>
      <c r="X22" s="189">
        <v>275</v>
      </c>
      <c r="Y22" s="189">
        <v>127</v>
      </c>
      <c r="Z22" s="190">
        <v>200</v>
      </c>
      <c r="AA22" s="190">
        <v>70</v>
      </c>
      <c r="AB22" s="191">
        <v>86</v>
      </c>
      <c r="AC22" s="191">
        <f t="shared" ref="AC22:AC23" si="15">AE22*0.27895</f>
        <v>58.579499999999996</v>
      </c>
      <c r="AD22" s="202">
        <v>305</v>
      </c>
      <c r="AE22" s="202">
        <v>210</v>
      </c>
      <c r="AF22" s="191">
        <v>290</v>
      </c>
      <c r="AG22" s="191">
        <v>121</v>
      </c>
      <c r="AH22" s="182">
        <v>200</v>
      </c>
      <c r="AI22" s="182">
        <v>95</v>
      </c>
      <c r="AJ22" s="202">
        <v>23005</v>
      </c>
      <c r="AK22" s="202">
        <v>8000</v>
      </c>
      <c r="AL22" s="371">
        <v>1</v>
      </c>
      <c r="AM22" s="262"/>
    </row>
    <row r="23" spans="1:39" ht="13.8" x14ac:dyDescent="0.3">
      <c r="A23" s="97" t="s">
        <v>251</v>
      </c>
      <c r="B23" s="184">
        <v>305</v>
      </c>
      <c r="C23" s="184">
        <v>125</v>
      </c>
      <c r="D23" s="191">
        <v>260</v>
      </c>
      <c r="E23" s="191">
        <v>115</v>
      </c>
      <c r="F23" s="185">
        <v>185</v>
      </c>
      <c r="G23" s="185">
        <v>73</v>
      </c>
      <c r="H23" s="188">
        <v>224</v>
      </c>
      <c r="I23" s="188">
        <f t="shared" si="12"/>
        <v>85.571330000000003</v>
      </c>
      <c r="J23" s="191">
        <f t="shared" si="13"/>
        <v>296.74</v>
      </c>
      <c r="K23" s="191">
        <f t="shared" si="14"/>
        <v>90.52</v>
      </c>
      <c r="L23" s="189">
        <v>200</v>
      </c>
      <c r="M23" s="189">
        <v>88</v>
      </c>
      <c r="N23" s="187">
        <v>125</v>
      </c>
      <c r="O23" s="187">
        <v>60</v>
      </c>
      <c r="P23" s="190">
        <v>145</v>
      </c>
      <c r="Q23" s="190">
        <v>60</v>
      </c>
      <c r="R23" s="188">
        <v>200</v>
      </c>
      <c r="S23" s="188">
        <v>100</v>
      </c>
      <c r="T23" s="189">
        <v>225</v>
      </c>
      <c r="U23" s="189">
        <v>74</v>
      </c>
      <c r="V23" s="187">
        <v>258</v>
      </c>
      <c r="W23" s="187">
        <v>119</v>
      </c>
      <c r="X23" s="189">
        <v>275</v>
      </c>
      <c r="Y23" s="189">
        <v>127</v>
      </c>
      <c r="Z23" s="190">
        <v>200</v>
      </c>
      <c r="AA23" s="190">
        <v>70</v>
      </c>
      <c r="AB23" s="191">
        <v>86</v>
      </c>
      <c r="AC23" s="191">
        <f t="shared" si="15"/>
        <v>58.579499999999996</v>
      </c>
      <c r="AD23" s="202">
        <v>305</v>
      </c>
      <c r="AE23" s="202">
        <v>210</v>
      </c>
      <c r="AF23" s="191">
        <v>290</v>
      </c>
      <c r="AG23" s="191">
        <v>121</v>
      </c>
      <c r="AH23" s="182">
        <v>200</v>
      </c>
      <c r="AI23" s="182">
        <v>95</v>
      </c>
      <c r="AJ23" s="202">
        <v>23005</v>
      </c>
      <c r="AK23" s="202">
        <v>8000</v>
      </c>
      <c r="AL23" s="371">
        <v>1</v>
      </c>
      <c r="AM23" s="262"/>
    </row>
    <row r="24" spans="1:39" ht="13.8" x14ac:dyDescent="0.3">
      <c r="A24" s="97" t="s">
        <v>206</v>
      </c>
      <c r="B24" s="184">
        <v>305</v>
      </c>
      <c r="C24" s="184">
        <v>38</v>
      </c>
      <c r="D24" s="191">
        <v>260</v>
      </c>
      <c r="E24" s="191">
        <v>51</v>
      </c>
      <c r="F24" s="185">
        <v>102</v>
      </c>
      <c r="G24" s="185">
        <v>31</v>
      </c>
      <c r="H24" s="188">
        <v>148</v>
      </c>
      <c r="I24" s="188">
        <f t="shared" si="0"/>
        <v>36.338509999999999</v>
      </c>
      <c r="J24" s="191">
        <v>158</v>
      </c>
      <c r="K24" s="191">
        <f t="shared" si="1"/>
        <v>38.44</v>
      </c>
      <c r="L24" s="189">
        <f t="shared" ref="L24:L31" si="16">H24</f>
        <v>148</v>
      </c>
      <c r="M24" s="189">
        <v>36</v>
      </c>
      <c r="N24" s="187">
        <f t="shared" ref="N24:N31" si="17">H24</f>
        <v>148</v>
      </c>
      <c r="O24" s="187">
        <v>36</v>
      </c>
      <c r="P24" s="190">
        <f>H24</f>
        <v>148</v>
      </c>
      <c r="Q24" s="190">
        <v>36</v>
      </c>
      <c r="R24" s="188">
        <f t="shared" ref="R24:R31" si="18">H24</f>
        <v>148</v>
      </c>
      <c r="S24" s="188">
        <v>36</v>
      </c>
      <c r="T24" s="189">
        <f t="shared" ref="T24:T31" si="19">H24</f>
        <v>148</v>
      </c>
      <c r="U24" s="189">
        <v>36</v>
      </c>
      <c r="V24" s="187">
        <f t="shared" ref="V24:V31" si="20">P24</f>
        <v>148</v>
      </c>
      <c r="W24" s="187">
        <v>36</v>
      </c>
      <c r="X24" s="189">
        <v>159</v>
      </c>
      <c r="Y24" s="189">
        <v>39</v>
      </c>
      <c r="Z24" s="190">
        <f t="shared" ref="Z24:Z31" si="21">H24</f>
        <v>148</v>
      </c>
      <c r="AA24" s="190">
        <v>36</v>
      </c>
      <c r="AB24" s="191">
        <v>90</v>
      </c>
      <c r="AC24" s="191">
        <f t="shared" si="3"/>
        <v>37.379299999999994</v>
      </c>
      <c r="AD24" s="202">
        <v>320</v>
      </c>
      <c r="AE24" s="202">
        <v>134</v>
      </c>
      <c r="AF24" s="191">
        <v>330</v>
      </c>
      <c r="AG24" s="191">
        <v>53</v>
      </c>
      <c r="AH24" s="182">
        <v>225</v>
      </c>
      <c r="AI24" s="182">
        <v>38</v>
      </c>
      <c r="AJ24" s="202">
        <v>21750</v>
      </c>
      <c r="AK24" s="202">
        <f t="shared" ref="AK24:AK37" si="22">C24*117.68</f>
        <v>4471.84</v>
      </c>
      <c r="AM24" s="262"/>
    </row>
    <row r="25" spans="1:39" ht="13.8" x14ac:dyDescent="0.3">
      <c r="A25" s="97" t="s">
        <v>207</v>
      </c>
      <c r="B25" s="184">
        <v>275</v>
      </c>
      <c r="C25" s="184">
        <v>34</v>
      </c>
      <c r="D25" s="191">
        <v>230</v>
      </c>
      <c r="E25" s="191">
        <v>46</v>
      </c>
      <c r="F25" s="185">
        <v>82</v>
      </c>
      <c r="G25" s="185">
        <v>27</v>
      </c>
      <c r="H25" s="188">
        <v>110</v>
      </c>
      <c r="I25" s="188">
        <f t="shared" si="0"/>
        <v>31.64967</v>
      </c>
      <c r="J25" s="191">
        <v>126</v>
      </c>
      <c r="K25" s="191">
        <f t="shared" si="1"/>
        <v>33.479999999999997</v>
      </c>
      <c r="L25" s="189">
        <f t="shared" si="16"/>
        <v>110</v>
      </c>
      <c r="M25" s="189">
        <v>32</v>
      </c>
      <c r="N25" s="187">
        <f t="shared" si="17"/>
        <v>110</v>
      </c>
      <c r="O25" s="187">
        <v>32</v>
      </c>
      <c r="P25" s="190">
        <f>H25</f>
        <v>110</v>
      </c>
      <c r="Q25" s="190">
        <v>32</v>
      </c>
      <c r="R25" s="188">
        <f t="shared" si="18"/>
        <v>110</v>
      </c>
      <c r="S25" s="188">
        <v>32</v>
      </c>
      <c r="T25" s="189">
        <f t="shared" si="19"/>
        <v>110</v>
      </c>
      <c r="U25" s="189">
        <v>32</v>
      </c>
      <c r="V25" s="187">
        <f t="shared" si="20"/>
        <v>110</v>
      </c>
      <c r="W25" s="187">
        <v>32</v>
      </c>
      <c r="X25" s="189">
        <v>126</v>
      </c>
      <c r="Y25" s="189">
        <v>34</v>
      </c>
      <c r="Z25" s="190">
        <f t="shared" si="21"/>
        <v>110</v>
      </c>
      <c r="AA25" s="190">
        <v>32</v>
      </c>
      <c r="AB25" s="191">
        <v>71</v>
      </c>
      <c r="AC25" s="191">
        <f t="shared" si="3"/>
        <v>33.195049999999995</v>
      </c>
      <c r="AD25" s="202">
        <v>252</v>
      </c>
      <c r="AE25" s="202">
        <v>119</v>
      </c>
      <c r="AF25" s="191">
        <v>290</v>
      </c>
      <c r="AG25" s="191">
        <v>47</v>
      </c>
      <c r="AH25" s="182">
        <v>200</v>
      </c>
      <c r="AI25" s="182">
        <v>34</v>
      </c>
      <c r="AJ25" s="202">
        <v>18820</v>
      </c>
      <c r="AK25" s="202">
        <f t="shared" si="22"/>
        <v>4001.1200000000003</v>
      </c>
      <c r="AM25" s="262"/>
    </row>
    <row r="26" spans="1:39" ht="13.8" x14ac:dyDescent="0.3">
      <c r="A26" s="97" t="s">
        <v>208</v>
      </c>
      <c r="B26" s="184">
        <v>245</v>
      </c>
      <c r="C26" s="184">
        <v>23</v>
      </c>
      <c r="D26" s="191">
        <v>200</v>
      </c>
      <c r="E26" s="191">
        <v>31</v>
      </c>
      <c r="F26" s="185">
        <v>55</v>
      </c>
      <c r="G26" s="185">
        <v>19</v>
      </c>
      <c r="H26" s="188">
        <v>79</v>
      </c>
      <c r="I26" s="188">
        <f t="shared" si="0"/>
        <v>22.271989999999999</v>
      </c>
      <c r="J26" s="191">
        <v>84</v>
      </c>
      <c r="K26" s="191">
        <f t="shared" si="1"/>
        <v>23.56</v>
      </c>
      <c r="L26" s="189">
        <f t="shared" si="16"/>
        <v>79</v>
      </c>
      <c r="M26" s="189">
        <v>22</v>
      </c>
      <c r="N26" s="187">
        <f t="shared" si="17"/>
        <v>79</v>
      </c>
      <c r="O26" s="187">
        <v>22</v>
      </c>
      <c r="P26" s="190">
        <f>H26</f>
        <v>79</v>
      </c>
      <c r="Q26" s="190">
        <v>22</v>
      </c>
      <c r="R26" s="188">
        <f t="shared" si="18"/>
        <v>79</v>
      </c>
      <c r="S26" s="188">
        <v>22</v>
      </c>
      <c r="T26" s="189">
        <f t="shared" si="19"/>
        <v>79</v>
      </c>
      <c r="U26" s="189">
        <v>22</v>
      </c>
      <c r="V26" s="187">
        <f t="shared" si="20"/>
        <v>79</v>
      </c>
      <c r="W26" s="187">
        <v>22</v>
      </c>
      <c r="X26" s="189">
        <v>84</v>
      </c>
      <c r="Y26" s="189">
        <v>24</v>
      </c>
      <c r="Z26" s="190">
        <f t="shared" si="21"/>
        <v>79</v>
      </c>
      <c r="AA26" s="190">
        <v>22</v>
      </c>
      <c r="AB26" s="191">
        <v>38</v>
      </c>
      <c r="AC26" s="191">
        <f t="shared" si="3"/>
        <v>22.594949999999997</v>
      </c>
      <c r="AD26" s="202">
        <v>137</v>
      </c>
      <c r="AE26" s="202">
        <v>81</v>
      </c>
      <c r="AF26" s="191">
        <v>215</v>
      </c>
      <c r="AG26" s="191">
        <v>32</v>
      </c>
      <c r="AH26" s="182">
        <v>160</v>
      </c>
      <c r="AI26" s="182">
        <v>23</v>
      </c>
      <c r="AJ26" s="202">
        <v>16000</v>
      </c>
      <c r="AK26" s="202">
        <f t="shared" si="22"/>
        <v>2706.6400000000003</v>
      </c>
      <c r="AM26" s="262"/>
    </row>
    <row r="27" spans="1:39" ht="13.8" x14ac:dyDescent="0.3">
      <c r="A27" s="97" t="s">
        <v>230</v>
      </c>
      <c r="B27" s="184">
        <v>195</v>
      </c>
      <c r="C27" s="184">
        <v>18</v>
      </c>
      <c r="D27" s="191">
        <v>150</v>
      </c>
      <c r="E27" s="191">
        <v>24</v>
      </c>
      <c r="F27" s="185">
        <v>32</v>
      </c>
      <c r="G27" s="185">
        <v>15</v>
      </c>
      <c r="H27" s="188">
        <v>44</v>
      </c>
      <c r="I27" s="188">
        <v>17</v>
      </c>
      <c r="J27" s="191">
        <v>63</v>
      </c>
      <c r="K27" s="191">
        <f t="shared" si="1"/>
        <v>18.600000000000001</v>
      </c>
      <c r="L27" s="189">
        <f t="shared" si="16"/>
        <v>44</v>
      </c>
      <c r="M27" s="189">
        <v>17</v>
      </c>
      <c r="N27" s="187">
        <f t="shared" si="17"/>
        <v>44</v>
      </c>
      <c r="O27" s="187">
        <v>17</v>
      </c>
      <c r="P27" s="190">
        <f>H27</f>
        <v>44</v>
      </c>
      <c r="Q27" s="190">
        <v>17</v>
      </c>
      <c r="R27" s="188">
        <f t="shared" si="18"/>
        <v>44</v>
      </c>
      <c r="S27" s="188">
        <v>17</v>
      </c>
      <c r="T27" s="189">
        <f t="shared" si="19"/>
        <v>44</v>
      </c>
      <c r="U27" s="189">
        <v>17</v>
      </c>
      <c r="V27" s="187">
        <f t="shared" si="20"/>
        <v>44</v>
      </c>
      <c r="W27" s="187">
        <v>17</v>
      </c>
      <c r="X27" s="189">
        <v>47</v>
      </c>
      <c r="Y27" s="189">
        <v>18</v>
      </c>
      <c r="Z27" s="190">
        <f t="shared" si="21"/>
        <v>44</v>
      </c>
      <c r="AA27" s="190">
        <v>17</v>
      </c>
      <c r="AB27" s="191">
        <v>30</v>
      </c>
      <c r="AC27" s="191">
        <f t="shared" si="3"/>
        <v>17.57385</v>
      </c>
      <c r="AD27" s="202">
        <v>122</v>
      </c>
      <c r="AE27" s="202">
        <v>63</v>
      </c>
      <c r="AF27" s="191">
        <v>190</v>
      </c>
      <c r="AG27" s="191">
        <v>25</v>
      </c>
      <c r="AH27" s="182">
        <v>140</v>
      </c>
      <c r="AI27" s="182">
        <v>18</v>
      </c>
      <c r="AJ27" s="202">
        <v>14000</v>
      </c>
      <c r="AK27" s="202">
        <f t="shared" si="22"/>
        <v>2118.2400000000002</v>
      </c>
      <c r="AM27" s="262"/>
    </row>
    <row r="28" spans="1:39" ht="13.8" x14ac:dyDescent="0.3">
      <c r="A28" s="97" t="s">
        <v>209</v>
      </c>
      <c r="B28" s="184">
        <v>120</v>
      </c>
      <c r="C28" s="184">
        <v>38</v>
      </c>
      <c r="D28" s="191">
        <v>160</v>
      </c>
      <c r="E28" s="191">
        <v>51</v>
      </c>
      <c r="F28" s="185">
        <v>82</v>
      </c>
      <c r="G28" s="185">
        <v>31</v>
      </c>
      <c r="H28" s="188">
        <v>112</v>
      </c>
      <c r="I28" s="188">
        <f t="shared" ref="I28:I37" si="23">G28*1.17221</f>
        <v>36.338509999999999</v>
      </c>
      <c r="J28" s="191">
        <v>126</v>
      </c>
      <c r="K28" s="191">
        <f t="shared" si="1"/>
        <v>38.44</v>
      </c>
      <c r="L28" s="189">
        <f t="shared" si="16"/>
        <v>112</v>
      </c>
      <c r="M28" s="189">
        <v>36</v>
      </c>
      <c r="N28" s="187">
        <f t="shared" si="17"/>
        <v>112</v>
      </c>
      <c r="O28" s="187">
        <v>36</v>
      </c>
      <c r="P28" s="190">
        <v>118</v>
      </c>
      <c r="Q28" s="190">
        <v>36</v>
      </c>
      <c r="R28" s="188">
        <f t="shared" si="18"/>
        <v>112</v>
      </c>
      <c r="S28" s="188">
        <v>36</v>
      </c>
      <c r="T28" s="189">
        <f t="shared" si="19"/>
        <v>112</v>
      </c>
      <c r="U28" s="189">
        <v>36</v>
      </c>
      <c r="V28" s="187">
        <f t="shared" si="20"/>
        <v>118</v>
      </c>
      <c r="W28" s="187">
        <v>36</v>
      </c>
      <c r="X28" s="189">
        <v>126</v>
      </c>
      <c r="Y28" s="189">
        <v>39</v>
      </c>
      <c r="Z28" s="190">
        <f t="shared" si="21"/>
        <v>112</v>
      </c>
      <c r="AA28" s="190">
        <v>36</v>
      </c>
      <c r="AB28" s="191">
        <v>63</v>
      </c>
      <c r="AC28" s="191">
        <f t="shared" si="3"/>
        <v>37.379299999999994</v>
      </c>
      <c r="AD28" s="202">
        <v>210</v>
      </c>
      <c r="AE28" s="202">
        <v>134</v>
      </c>
      <c r="AF28" s="191">
        <v>168</v>
      </c>
      <c r="AG28" s="191">
        <v>53</v>
      </c>
      <c r="AH28" s="182">
        <v>120</v>
      </c>
      <c r="AI28" s="182">
        <v>38</v>
      </c>
      <c r="AJ28" s="202">
        <v>14100</v>
      </c>
      <c r="AK28" s="202">
        <f t="shared" si="22"/>
        <v>4471.84</v>
      </c>
      <c r="AM28" s="262"/>
    </row>
    <row r="29" spans="1:39" ht="13.8" x14ac:dyDescent="0.3">
      <c r="A29" s="97" t="s">
        <v>210</v>
      </c>
      <c r="B29" s="184">
        <v>80</v>
      </c>
      <c r="C29" s="184">
        <v>34</v>
      </c>
      <c r="D29" s="191">
        <v>105</v>
      </c>
      <c r="E29" s="191">
        <v>46</v>
      </c>
      <c r="F29" s="185">
        <v>55</v>
      </c>
      <c r="G29" s="185">
        <v>27</v>
      </c>
      <c r="H29" s="188">
        <v>75</v>
      </c>
      <c r="I29" s="188">
        <f t="shared" si="23"/>
        <v>31.64967</v>
      </c>
      <c r="J29" s="191">
        <v>84</v>
      </c>
      <c r="K29" s="191">
        <f t="shared" si="1"/>
        <v>33.479999999999997</v>
      </c>
      <c r="L29" s="189">
        <f t="shared" si="16"/>
        <v>75</v>
      </c>
      <c r="M29" s="189">
        <v>32</v>
      </c>
      <c r="N29" s="187">
        <f t="shared" si="17"/>
        <v>75</v>
      </c>
      <c r="O29" s="187">
        <v>32</v>
      </c>
      <c r="P29" s="190">
        <v>79</v>
      </c>
      <c r="Q29" s="190">
        <v>32</v>
      </c>
      <c r="R29" s="188">
        <f t="shared" si="18"/>
        <v>75</v>
      </c>
      <c r="S29" s="188">
        <v>32</v>
      </c>
      <c r="T29" s="189">
        <f t="shared" si="19"/>
        <v>75</v>
      </c>
      <c r="U29" s="189">
        <v>32</v>
      </c>
      <c r="V29" s="187">
        <f t="shared" si="20"/>
        <v>79</v>
      </c>
      <c r="W29" s="187">
        <v>32</v>
      </c>
      <c r="X29" s="189">
        <v>84</v>
      </c>
      <c r="Y29" s="189">
        <v>34</v>
      </c>
      <c r="Z29" s="190">
        <f t="shared" si="21"/>
        <v>75</v>
      </c>
      <c r="AA29" s="190">
        <v>32</v>
      </c>
      <c r="AB29" s="191">
        <v>53</v>
      </c>
      <c r="AC29" s="191">
        <f t="shared" si="3"/>
        <v>33.195049999999995</v>
      </c>
      <c r="AD29" s="202">
        <v>189</v>
      </c>
      <c r="AE29" s="202">
        <v>119</v>
      </c>
      <c r="AF29" s="191">
        <v>112</v>
      </c>
      <c r="AG29" s="191">
        <v>47</v>
      </c>
      <c r="AH29" s="182">
        <v>80</v>
      </c>
      <c r="AI29" s="182">
        <v>34</v>
      </c>
      <c r="AJ29" s="202">
        <v>9500</v>
      </c>
      <c r="AK29" s="202">
        <f t="shared" si="22"/>
        <v>4001.1200000000003</v>
      </c>
      <c r="AM29" s="262"/>
    </row>
    <row r="30" spans="1:39" ht="13.8" x14ac:dyDescent="0.3">
      <c r="A30" s="97" t="s">
        <v>211</v>
      </c>
      <c r="B30" s="184">
        <v>60</v>
      </c>
      <c r="C30" s="184">
        <v>23</v>
      </c>
      <c r="D30" s="191">
        <v>80</v>
      </c>
      <c r="E30" s="191">
        <v>31</v>
      </c>
      <c r="F30" s="185">
        <v>41</v>
      </c>
      <c r="G30" s="185">
        <v>19</v>
      </c>
      <c r="H30" s="188">
        <v>56</v>
      </c>
      <c r="I30" s="188">
        <f t="shared" si="23"/>
        <v>22.271989999999999</v>
      </c>
      <c r="J30" s="191">
        <v>63</v>
      </c>
      <c r="K30" s="191">
        <f t="shared" si="1"/>
        <v>23.56</v>
      </c>
      <c r="L30" s="189">
        <f t="shared" si="16"/>
        <v>56</v>
      </c>
      <c r="M30" s="189">
        <v>22</v>
      </c>
      <c r="N30" s="187">
        <f t="shared" si="17"/>
        <v>56</v>
      </c>
      <c r="O30" s="187">
        <v>22</v>
      </c>
      <c r="P30" s="190">
        <v>59</v>
      </c>
      <c r="Q30" s="190">
        <v>22</v>
      </c>
      <c r="R30" s="188">
        <f t="shared" si="18"/>
        <v>56</v>
      </c>
      <c r="S30" s="188">
        <v>22</v>
      </c>
      <c r="T30" s="189">
        <f t="shared" si="19"/>
        <v>56</v>
      </c>
      <c r="U30" s="189">
        <v>22</v>
      </c>
      <c r="V30" s="187">
        <f t="shared" si="20"/>
        <v>59</v>
      </c>
      <c r="W30" s="187">
        <v>22</v>
      </c>
      <c r="X30" s="189">
        <v>63</v>
      </c>
      <c r="Y30" s="189">
        <v>24</v>
      </c>
      <c r="Z30" s="190">
        <f t="shared" si="21"/>
        <v>56</v>
      </c>
      <c r="AA30" s="190">
        <v>22</v>
      </c>
      <c r="AB30" s="191">
        <v>42</v>
      </c>
      <c r="AC30" s="191">
        <f t="shared" si="3"/>
        <v>22.594949999999997</v>
      </c>
      <c r="AD30" s="202">
        <v>137</v>
      </c>
      <c r="AE30" s="202">
        <v>81</v>
      </c>
      <c r="AF30" s="191">
        <v>84</v>
      </c>
      <c r="AG30" s="191">
        <v>32</v>
      </c>
      <c r="AH30" s="182">
        <v>60</v>
      </c>
      <c r="AI30" s="182">
        <v>23</v>
      </c>
      <c r="AJ30" s="202">
        <v>7100</v>
      </c>
      <c r="AK30" s="202">
        <f t="shared" si="22"/>
        <v>2706.6400000000003</v>
      </c>
      <c r="AM30" s="262"/>
    </row>
    <row r="31" spans="1:39" ht="13.8" x14ac:dyDescent="0.3">
      <c r="A31" s="97" t="s">
        <v>231</v>
      </c>
      <c r="B31" s="184">
        <v>40</v>
      </c>
      <c r="C31" s="184">
        <v>18</v>
      </c>
      <c r="D31" s="191">
        <v>55</v>
      </c>
      <c r="E31" s="191">
        <v>24</v>
      </c>
      <c r="F31" s="185">
        <v>32</v>
      </c>
      <c r="G31" s="185">
        <v>15</v>
      </c>
      <c r="H31" s="188">
        <v>42</v>
      </c>
      <c r="I31" s="188">
        <f t="shared" si="23"/>
        <v>17.58315</v>
      </c>
      <c r="J31" s="191">
        <v>42</v>
      </c>
      <c r="K31" s="191">
        <f t="shared" si="1"/>
        <v>18.600000000000001</v>
      </c>
      <c r="L31" s="189">
        <f t="shared" si="16"/>
        <v>42</v>
      </c>
      <c r="M31" s="189">
        <v>17</v>
      </c>
      <c r="N31" s="187">
        <f t="shared" si="17"/>
        <v>42</v>
      </c>
      <c r="O31" s="187">
        <v>17</v>
      </c>
      <c r="P31" s="190">
        <v>44</v>
      </c>
      <c r="Q31" s="190">
        <v>17</v>
      </c>
      <c r="R31" s="188">
        <f t="shared" si="18"/>
        <v>42</v>
      </c>
      <c r="S31" s="188">
        <v>17</v>
      </c>
      <c r="T31" s="189">
        <f t="shared" si="19"/>
        <v>42</v>
      </c>
      <c r="U31" s="189">
        <v>17</v>
      </c>
      <c r="V31" s="187">
        <f t="shared" si="20"/>
        <v>44</v>
      </c>
      <c r="W31" s="187">
        <v>17</v>
      </c>
      <c r="X31" s="189">
        <v>47</v>
      </c>
      <c r="Y31" s="189">
        <v>18</v>
      </c>
      <c r="Z31" s="190">
        <f t="shared" si="21"/>
        <v>42</v>
      </c>
      <c r="AA31" s="190">
        <v>17</v>
      </c>
      <c r="AB31" s="191">
        <v>26</v>
      </c>
      <c r="AC31" s="191">
        <f t="shared" si="3"/>
        <v>17.57385</v>
      </c>
      <c r="AD31" s="202">
        <v>105</v>
      </c>
      <c r="AE31" s="202">
        <v>63</v>
      </c>
      <c r="AF31" s="191">
        <v>60</v>
      </c>
      <c r="AG31" s="191">
        <v>25</v>
      </c>
      <c r="AH31" s="182">
        <v>40</v>
      </c>
      <c r="AI31" s="182">
        <v>18</v>
      </c>
      <c r="AJ31" s="202">
        <v>7100</v>
      </c>
      <c r="AK31" s="202">
        <f t="shared" si="22"/>
        <v>2118.2400000000002</v>
      </c>
      <c r="AM31" s="262"/>
    </row>
    <row r="32" spans="1:39" ht="13.8" x14ac:dyDescent="0.3">
      <c r="A32" s="97" t="s">
        <v>212</v>
      </c>
      <c r="B32" s="184">
        <v>90</v>
      </c>
      <c r="C32" s="184">
        <v>54</v>
      </c>
      <c r="D32" s="191">
        <v>120</v>
      </c>
      <c r="E32" s="191">
        <v>73</v>
      </c>
      <c r="F32" s="185">
        <v>58</v>
      </c>
      <c r="G32" s="185">
        <v>44</v>
      </c>
      <c r="H32" s="188">
        <v>80</v>
      </c>
      <c r="I32" s="188">
        <f t="shared" si="23"/>
        <v>51.577239999999996</v>
      </c>
      <c r="J32" s="191">
        <v>90</v>
      </c>
      <c r="K32" s="191">
        <f t="shared" si="1"/>
        <v>54.56</v>
      </c>
      <c r="L32" s="189">
        <v>80</v>
      </c>
      <c r="M32" s="189">
        <v>40.1</v>
      </c>
      <c r="N32" s="187">
        <v>80</v>
      </c>
      <c r="O32" s="187">
        <v>51</v>
      </c>
      <c r="P32" s="190">
        <v>80</v>
      </c>
      <c r="Q32" s="190">
        <v>51</v>
      </c>
      <c r="R32" s="188">
        <v>80</v>
      </c>
      <c r="S32" s="188">
        <v>51</v>
      </c>
      <c r="T32" s="189">
        <v>80</v>
      </c>
      <c r="U32" s="189">
        <v>51</v>
      </c>
      <c r="V32" s="187">
        <v>80</v>
      </c>
      <c r="W32" s="187">
        <v>51</v>
      </c>
      <c r="X32" s="189">
        <v>86</v>
      </c>
      <c r="Y32" s="189">
        <v>55</v>
      </c>
      <c r="Z32" s="190">
        <v>80</v>
      </c>
      <c r="AA32" s="190">
        <v>51</v>
      </c>
      <c r="AB32" s="191">
        <v>90</v>
      </c>
      <c r="AC32" s="191">
        <f t="shared" si="3"/>
        <v>53.000499999999995</v>
      </c>
      <c r="AD32" s="202">
        <v>280</v>
      </c>
      <c r="AE32" s="202">
        <v>190</v>
      </c>
      <c r="AF32" s="191">
        <v>126</v>
      </c>
      <c r="AG32" s="191">
        <v>75</v>
      </c>
      <c r="AH32" s="182">
        <v>90</v>
      </c>
      <c r="AI32" s="182">
        <v>54</v>
      </c>
      <c r="AJ32" s="202">
        <v>10600</v>
      </c>
      <c r="AK32" s="202">
        <f t="shared" si="22"/>
        <v>6354.72</v>
      </c>
      <c r="AM32" s="262"/>
    </row>
    <row r="33" spans="1:39" ht="13.8" x14ac:dyDescent="0.3">
      <c r="A33" s="97" t="s">
        <v>213</v>
      </c>
      <c r="B33" s="184">
        <v>55</v>
      </c>
      <c r="C33" s="184">
        <v>17</v>
      </c>
      <c r="D33" s="191">
        <v>75</v>
      </c>
      <c r="E33" s="191">
        <v>23</v>
      </c>
      <c r="F33" s="185">
        <v>36</v>
      </c>
      <c r="G33" s="185">
        <v>14</v>
      </c>
      <c r="H33" s="188">
        <v>49</v>
      </c>
      <c r="I33" s="188">
        <f t="shared" si="23"/>
        <v>16.41094</v>
      </c>
      <c r="J33" s="191">
        <v>55</v>
      </c>
      <c r="K33" s="191">
        <f t="shared" si="1"/>
        <v>17.36</v>
      </c>
      <c r="L33" s="189">
        <v>49</v>
      </c>
      <c r="M33" s="189">
        <v>14.7</v>
      </c>
      <c r="N33" s="187">
        <v>49</v>
      </c>
      <c r="O33" s="187">
        <v>16</v>
      </c>
      <c r="P33" s="190">
        <v>49</v>
      </c>
      <c r="Q33" s="190">
        <v>16</v>
      </c>
      <c r="R33" s="188">
        <v>49</v>
      </c>
      <c r="S33" s="188">
        <v>16</v>
      </c>
      <c r="T33" s="189">
        <v>49</v>
      </c>
      <c r="U33" s="189">
        <v>16</v>
      </c>
      <c r="V33" s="187">
        <v>49</v>
      </c>
      <c r="W33" s="187">
        <v>16</v>
      </c>
      <c r="X33" s="189">
        <v>52</v>
      </c>
      <c r="Y33" s="189">
        <v>17</v>
      </c>
      <c r="Z33" s="190">
        <v>49</v>
      </c>
      <c r="AA33" s="190">
        <v>16</v>
      </c>
      <c r="AB33" s="191">
        <v>55</v>
      </c>
      <c r="AC33" s="191">
        <f t="shared" si="3"/>
        <v>16.736999999999998</v>
      </c>
      <c r="AD33" s="202">
        <v>60</v>
      </c>
      <c r="AE33" s="202">
        <v>60</v>
      </c>
      <c r="AF33" s="191">
        <v>77</v>
      </c>
      <c r="AG33" s="191">
        <v>24</v>
      </c>
      <c r="AH33" s="182">
        <v>55</v>
      </c>
      <c r="AI33" s="182">
        <v>17</v>
      </c>
      <c r="AJ33" s="202">
        <v>6500</v>
      </c>
      <c r="AK33" s="202">
        <f t="shared" si="22"/>
        <v>2000.5600000000002</v>
      </c>
      <c r="AM33" s="262"/>
    </row>
    <row r="34" spans="1:39" ht="13.8" x14ac:dyDescent="0.3">
      <c r="A34" s="97" t="s">
        <v>214</v>
      </c>
      <c r="B34" s="184">
        <v>75</v>
      </c>
      <c r="C34" s="184">
        <v>37</v>
      </c>
      <c r="D34" s="191">
        <v>100</v>
      </c>
      <c r="E34" s="191">
        <v>50</v>
      </c>
      <c r="F34" s="185">
        <v>49</v>
      </c>
      <c r="G34" s="185">
        <v>29</v>
      </c>
      <c r="H34" s="188">
        <v>67</v>
      </c>
      <c r="I34" s="188">
        <f t="shared" si="23"/>
        <v>33.99409</v>
      </c>
      <c r="J34" s="191">
        <v>75</v>
      </c>
      <c r="K34" s="191">
        <f t="shared" si="1"/>
        <v>35.96</v>
      </c>
      <c r="L34" s="189">
        <v>67</v>
      </c>
      <c r="M34" s="189">
        <v>29.4</v>
      </c>
      <c r="N34" s="187">
        <v>67</v>
      </c>
      <c r="O34" s="187">
        <v>35</v>
      </c>
      <c r="P34" s="190">
        <v>67</v>
      </c>
      <c r="Q34" s="190">
        <v>35</v>
      </c>
      <c r="R34" s="188">
        <v>67</v>
      </c>
      <c r="S34" s="188">
        <v>35</v>
      </c>
      <c r="T34" s="189">
        <v>67</v>
      </c>
      <c r="U34" s="189">
        <v>35</v>
      </c>
      <c r="V34" s="187">
        <v>67</v>
      </c>
      <c r="W34" s="187">
        <v>35</v>
      </c>
      <c r="X34" s="189">
        <v>72</v>
      </c>
      <c r="Y34" s="189">
        <v>37</v>
      </c>
      <c r="Z34" s="190">
        <v>67</v>
      </c>
      <c r="AA34" s="190">
        <v>35</v>
      </c>
      <c r="AB34" s="191">
        <v>75</v>
      </c>
      <c r="AC34" s="191">
        <f t="shared" si="3"/>
        <v>36.263499999999993</v>
      </c>
      <c r="AD34" s="202">
        <v>180</v>
      </c>
      <c r="AE34" s="202">
        <v>130</v>
      </c>
      <c r="AF34" s="191">
        <v>105</v>
      </c>
      <c r="AG34" s="191">
        <v>51</v>
      </c>
      <c r="AH34" s="182">
        <v>75</v>
      </c>
      <c r="AI34" s="182">
        <v>37</v>
      </c>
      <c r="AJ34" s="202">
        <v>8900</v>
      </c>
      <c r="AK34" s="202">
        <f t="shared" si="22"/>
        <v>4354.16</v>
      </c>
      <c r="AM34" s="262"/>
    </row>
    <row r="35" spans="1:39" ht="13.8" x14ac:dyDescent="0.3">
      <c r="A35" s="97" t="s">
        <v>215</v>
      </c>
      <c r="B35" s="184">
        <v>55</v>
      </c>
      <c r="C35" s="184">
        <v>19</v>
      </c>
      <c r="D35" s="191">
        <v>65</v>
      </c>
      <c r="E35" s="191">
        <v>23</v>
      </c>
      <c r="F35" s="185">
        <v>32</v>
      </c>
      <c r="G35" s="185">
        <v>15</v>
      </c>
      <c r="H35" s="188">
        <v>45</v>
      </c>
      <c r="I35" s="188">
        <f t="shared" si="23"/>
        <v>17.58315</v>
      </c>
      <c r="J35" s="191">
        <v>55</v>
      </c>
      <c r="K35" s="191">
        <f t="shared" si="1"/>
        <v>18.600000000000001</v>
      </c>
      <c r="L35" s="189">
        <v>45</v>
      </c>
      <c r="M35" s="189">
        <v>19.2</v>
      </c>
      <c r="N35" s="187">
        <v>45</v>
      </c>
      <c r="O35" s="187">
        <v>18</v>
      </c>
      <c r="P35" s="190">
        <v>45</v>
      </c>
      <c r="Q35" s="190">
        <v>18</v>
      </c>
      <c r="R35" s="188">
        <v>45</v>
      </c>
      <c r="S35" s="188">
        <v>18</v>
      </c>
      <c r="T35" s="189">
        <v>45</v>
      </c>
      <c r="U35" s="189">
        <v>18</v>
      </c>
      <c r="V35" s="187">
        <v>45</v>
      </c>
      <c r="W35" s="187">
        <v>18</v>
      </c>
      <c r="X35" s="189">
        <v>48</v>
      </c>
      <c r="Y35" s="189">
        <v>19</v>
      </c>
      <c r="Z35" s="190">
        <v>45</v>
      </c>
      <c r="AA35" s="190">
        <v>18</v>
      </c>
      <c r="AB35" s="191">
        <v>50</v>
      </c>
      <c r="AC35" s="191">
        <v>18</v>
      </c>
      <c r="AD35" s="202">
        <v>120</v>
      </c>
      <c r="AE35" s="202">
        <v>67</v>
      </c>
      <c r="AF35" s="191">
        <v>70</v>
      </c>
      <c r="AG35" s="191">
        <v>26</v>
      </c>
      <c r="AH35" s="182">
        <v>50</v>
      </c>
      <c r="AI35" s="182">
        <v>18</v>
      </c>
      <c r="AJ35" s="202">
        <v>6500</v>
      </c>
      <c r="AK35" s="202">
        <v>2222</v>
      </c>
      <c r="AM35" s="262"/>
    </row>
    <row r="36" spans="1:39" ht="13.8" x14ac:dyDescent="0.3">
      <c r="A36" s="97" t="s">
        <v>216</v>
      </c>
      <c r="B36" s="184">
        <v>35</v>
      </c>
      <c r="C36" s="184">
        <v>14</v>
      </c>
      <c r="D36" s="191">
        <v>55</v>
      </c>
      <c r="E36" s="191">
        <v>23</v>
      </c>
      <c r="F36" s="185">
        <v>26</v>
      </c>
      <c r="G36" s="185">
        <v>11</v>
      </c>
      <c r="H36" s="188">
        <v>36</v>
      </c>
      <c r="I36" s="188">
        <f t="shared" si="23"/>
        <v>12.894309999999999</v>
      </c>
      <c r="J36" s="191">
        <v>35</v>
      </c>
      <c r="K36" s="191">
        <f t="shared" si="1"/>
        <v>13.64</v>
      </c>
      <c r="L36" s="189">
        <v>36</v>
      </c>
      <c r="M36" s="189">
        <v>11.4</v>
      </c>
      <c r="N36" s="187">
        <v>36</v>
      </c>
      <c r="O36" s="187">
        <v>13</v>
      </c>
      <c r="P36" s="190">
        <v>36</v>
      </c>
      <c r="Q36" s="190">
        <v>13</v>
      </c>
      <c r="R36" s="188">
        <v>36</v>
      </c>
      <c r="S36" s="188">
        <v>13</v>
      </c>
      <c r="T36" s="189">
        <v>36</v>
      </c>
      <c r="U36" s="189">
        <v>13</v>
      </c>
      <c r="V36" s="187">
        <v>36</v>
      </c>
      <c r="W36" s="187">
        <v>13</v>
      </c>
      <c r="X36" s="189">
        <v>39</v>
      </c>
      <c r="Y36" s="189">
        <v>14</v>
      </c>
      <c r="Z36" s="190">
        <v>36</v>
      </c>
      <c r="AA36" s="190">
        <v>13</v>
      </c>
      <c r="AB36" s="191">
        <v>40</v>
      </c>
      <c r="AC36" s="191">
        <v>13</v>
      </c>
      <c r="AD36" s="202">
        <v>120</v>
      </c>
      <c r="AE36" s="202">
        <v>49</v>
      </c>
      <c r="AF36" s="191">
        <v>56</v>
      </c>
      <c r="AG36" s="191">
        <v>19</v>
      </c>
      <c r="AH36" s="182">
        <v>40</v>
      </c>
      <c r="AI36" s="182">
        <v>13</v>
      </c>
      <c r="AJ36" s="202">
        <v>4700</v>
      </c>
      <c r="AK36" s="202">
        <v>1637</v>
      </c>
      <c r="AM36" s="262"/>
    </row>
    <row r="37" spans="1:39" ht="13.8" x14ac:dyDescent="0.3">
      <c r="A37" s="97" t="s">
        <v>217</v>
      </c>
      <c r="B37" s="184">
        <v>30</v>
      </c>
      <c r="C37" s="184">
        <v>9</v>
      </c>
      <c r="D37" s="191">
        <v>45</v>
      </c>
      <c r="E37" s="191">
        <v>12</v>
      </c>
      <c r="F37" s="185">
        <v>23</v>
      </c>
      <c r="G37" s="185">
        <v>7</v>
      </c>
      <c r="H37" s="188">
        <v>31</v>
      </c>
      <c r="I37" s="188">
        <f t="shared" si="23"/>
        <v>8.20547</v>
      </c>
      <c r="J37" s="191">
        <v>30</v>
      </c>
      <c r="K37" s="191">
        <f t="shared" si="1"/>
        <v>8.68</v>
      </c>
      <c r="L37" s="189">
        <v>31</v>
      </c>
      <c r="M37" s="189">
        <v>7.5</v>
      </c>
      <c r="N37" s="187">
        <v>31</v>
      </c>
      <c r="O37" s="187">
        <v>9</v>
      </c>
      <c r="P37" s="190">
        <v>31</v>
      </c>
      <c r="Q37" s="190">
        <v>9</v>
      </c>
      <c r="R37" s="188">
        <v>31</v>
      </c>
      <c r="S37" s="188">
        <v>9</v>
      </c>
      <c r="T37" s="189">
        <v>31</v>
      </c>
      <c r="U37" s="189">
        <v>9</v>
      </c>
      <c r="V37" s="187">
        <v>31</v>
      </c>
      <c r="W37" s="187">
        <v>9</v>
      </c>
      <c r="X37" s="189">
        <v>33</v>
      </c>
      <c r="Y37" s="189">
        <v>10</v>
      </c>
      <c r="Z37" s="190">
        <v>31</v>
      </c>
      <c r="AA37" s="190">
        <v>9</v>
      </c>
      <c r="AB37" s="191">
        <v>35</v>
      </c>
      <c r="AC37" s="191">
        <f t="shared" si="3"/>
        <v>8.9263999999999992</v>
      </c>
      <c r="AD37" s="202">
        <v>80</v>
      </c>
      <c r="AE37" s="202">
        <v>32</v>
      </c>
      <c r="AF37" s="191">
        <v>49</v>
      </c>
      <c r="AG37" s="191">
        <v>12</v>
      </c>
      <c r="AH37" s="182">
        <v>35</v>
      </c>
      <c r="AI37" s="182">
        <v>9</v>
      </c>
      <c r="AJ37" s="202">
        <v>4100</v>
      </c>
      <c r="AK37" s="202">
        <f t="shared" si="22"/>
        <v>1059.1200000000001</v>
      </c>
      <c r="AM37" s="262"/>
    </row>
    <row r="38" spans="1:39" ht="13.8" x14ac:dyDescent="0.3">
      <c r="A38" s="97" t="s">
        <v>238</v>
      </c>
      <c r="B38" s="184">
        <v>75</v>
      </c>
      <c r="C38" s="184">
        <v>28</v>
      </c>
      <c r="D38" s="191">
        <v>75</v>
      </c>
      <c r="E38" s="191">
        <v>28</v>
      </c>
      <c r="F38" s="185">
        <v>60</v>
      </c>
      <c r="G38" s="185">
        <v>22</v>
      </c>
      <c r="H38" s="188">
        <v>67</v>
      </c>
      <c r="I38" s="188">
        <v>35</v>
      </c>
      <c r="J38" s="191">
        <v>75</v>
      </c>
      <c r="K38" s="191">
        <v>28</v>
      </c>
      <c r="L38" s="189">
        <v>67</v>
      </c>
      <c r="M38" s="189">
        <v>35</v>
      </c>
      <c r="N38" s="187">
        <v>67</v>
      </c>
      <c r="O38" s="187">
        <v>35</v>
      </c>
      <c r="P38" s="190">
        <v>67</v>
      </c>
      <c r="Q38" s="190">
        <v>35</v>
      </c>
      <c r="R38" s="188">
        <v>67</v>
      </c>
      <c r="S38" s="188">
        <v>35</v>
      </c>
      <c r="T38" s="189">
        <v>67</v>
      </c>
      <c r="U38" s="189">
        <v>35</v>
      </c>
      <c r="V38" s="187">
        <v>67</v>
      </c>
      <c r="W38" s="187">
        <v>35</v>
      </c>
      <c r="X38" s="189">
        <v>75</v>
      </c>
      <c r="Y38" s="189">
        <v>28</v>
      </c>
      <c r="Z38" s="190">
        <v>67</v>
      </c>
      <c r="AA38" s="190">
        <v>35</v>
      </c>
      <c r="AB38" s="191">
        <v>75</v>
      </c>
      <c r="AC38" s="191">
        <v>28</v>
      </c>
      <c r="AD38" s="202">
        <v>180</v>
      </c>
      <c r="AE38" s="202">
        <v>130</v>
      </c>
      <c r="AF38" s="191">
        <v>105</v>
      </c>
      <c r="AG38" s="191">
        <v>51</v>
      </c>
      <c r="AH38" s="182">
        <v>75</v>
      </c>
      <c r="AI38" s="182">
        <v>37</v>
      </c>
      <c r="AJ38" s="202">
        <v>8900</v>
      </c>
      <c r="AK38" s="202">
        <v>4354</v>
      </c>
      <c r="AM38" s="262"/>
    </row>
    <row r="40" spans="1:39" s="192" customFormat="1" x14ac:dyDescent="0.25">
      <c r="B40" s="192">
        <v>2</v>
      </c>
      <c r="C40" s="192">
        <v>3</v>
      </c>
      <c r="D40" s="192">
        <v>4</v>
      </c>
      <c r="E40" s="192">
        <v>5</v>
      </c>
      <c r="F40" s="192">
        <v>6</v>
      </c>
      <c r="G40" s="192">
        <v>7</v>
      </c>
      <c r="H40" s="192">
        <v>8</v>
      </c>
      <c r="I40" s="192">
        <v>9</v>
      </c>
      <c r="J40" s="192">
        <v>10</v>
      </c>
      <c r="K40" s="192">
        <v>11</v>
      </c>
      <c r="L40" s="192">
        <v>12</v>
      </c>
      <c r="M40" s="192">
        <v>13</v>
      </c>
      <c r="N40" s="192">
        <v>14</v>
      </c>
      <c r="O40" s="192">
        <v>15</v>
      </c>
      <c r="P40" s="192">
        <v>16</v>
      </c>
      <c r="Q40" s="192">
        <v>17</v>
      </c>
      <c r="R40" s="192">
        <v>18</v>
      </c>
      <c r="S40" s="192">
        <v>19</v>
      </c>
      <c r="T40" s="192">
        <v>20</v>
      </c>
      <c r="U40" s="192">
        <v>21</v>
      </c>
      <c r="V40" s="192">
        <v>22</v>
      </c>
      <c r="W40" s="192">
        <v>23</v>
      </c>
      <c r="X40" s="192">
        <v>24</v>
      </c>
      <c r="Y40" s="192">
        <v>25</v>
      </c>
      <c r="Z40" s="192">
        <v>26</v>
      </c>
      <c r="AA40" s="192">
        <v>27</v>
      </c>
      <c r="AB40" s="192">
        <v>28</v>
      </c>
      <c r="AC40" s="192">
        <v>29</v>
      </c>
      <c r="AD40" s="192">
        <v>30</v>
      </c>
      <c r="AE40" s="192">
        <v>31</v>
      </c>
      <c r="AF40" s="192">
        <v>32</v>
      </c>
      <c r="AG40" s="192">
        <v>33</v>
      </c>
      <c r="AH40" s="192">
        <v>34</v>
      </c>
      <c r="AI40" s="192">
        <v>35</v>
      </c>
      <c r="AJ40" s="192">
        <v>36</v>
      </c>
      <c r="AK40" s="192">
        <v>37</v>
      </c>
      <c r="AL40" s="263">
        <v>38</v>
      </c>
      <c r="AM40" s="263"/>
    </row>
    <row r="41" spans="1:39" s="192" customFormat="1" x14ac:dyDescent="0.25">
      <c r="A41" s="193" t="s">
        <v>138</v>
      </c>
      <c r="B41" s="192">
        <v>2</v>
      </c>
      <c r="C41" s="192">
        <v>3</v>
      </c>
      <c r="AL41" s="263"/>
      <c r="AM41" s="263"/>
    </row>
    <row r="42" spans="1:39" s="192" customFormat="1" x14ac:dyDescent="0.25">
      <c r="A42" s="196" t="s">
        <v>232</v>
      </c>
      <c r="B42" s="192">
        <v>4</v>
      </c>
      <c r="C42" s="192">
        <v>5</v>
      </c>
      <c r="AL42" s="263"/>
      <c r="AM42" s="263"/>
    </row>
    <row r="43" spans="1:39" s="192" customFormat="1" x14ac:dyDescent="0.25">
      <c r="A43" s="196" t="s">
        <v>176</v>
      </c>
      <c r="B43" s="192">
        <v>6</v>
      </c>
      <c r="C43" s="192">
        <v>7</v>
      </c>
      <c r="AL43" s="263"/>
      <c r="AM43" s="263"/>
    </row>
    <row r="44" spans="1:39" s="192" customFormat="1" x14ac:dyDescent="0.25">
      <c r="A44" s="196" t="s">
        <v>177</v>
      </c>
      <c r="B44" s="192">
        <v>8</v>
      </c>
      <c r="C44" s="192">
        <v>9</v>
      </c>
      <c r="AL44" s="263"/>
      <c r="AM44" s="263"/>
    </row>
    <row r="45" spans="1:39" s="192" customFormat="1" x14ac:dyDescent="0.25">
      <c r="A45" s="196" t="s">
        <v>184</v>
      </c>
      <c r="B45" s="192">
        <v>10</v>
      </c>
      <c r="C45" s="192">
        <v>11</v>
      </c>
      <c r="AL45" s="263"/>
      <c r="AM45" s="263"/>
    </row>
    <row r="46" spans="1:39" s="192" customFormat="1" x14ac:dyDescent="0.25">
      <c r="A46" s="196" t="s">
        <v>181</v>
      </c>
      <c r="B46" s="192">
        <v>12</v>
      </c>
      <c r="C46" s="192">
        <v>13</v>
      </c>
      <c r="AL46" s="263"/>
      <c r="AM46" s="263"/>
    </row>
    <row r="47" spans="1:39" s="192" customFormat="1" x14ac:dyDescent="0.25">
      <c r="A47" s="193" t="s">
        <v>152</v>
      </c>
      <c r="B47" s="192">
        <v>14</v>
      </c>
      <c r="C47" s="192">
        <v>15</v>
      </c>
      <c r="AL47" s="263"/>
      <c r="AM47" s="263"/>
    </row>
    <row r="48" spans="1:39" s="192" customFormat="1" x14ac:dyDescent="0.25">
      <c r="A48" s="196" t="s">
        <v>233</v>
      </c>
      <c r="B48" s="192">
        <v>16</v>
      </c>
      <c r="C48" s="192">
        <v>17</v>
      </c>
      <c r="AL48" s="263"/>
      <c r="AM48" s="263"/>
    </row>
    <row r="49" spans="1:39" s="192" customFormat="1" x14ac:dyDescent="0.25">
      <c r="A49" s="193" t="s">
        <v>153</v>
      </c>
      <c r="B49" s="179">
        <v>18</v>
      </c>
      <c r="C49" s="179">
        <v>19</v>
      </c>
      <c r="AL49" s="263"/>
      <c r="AM49" s="263"/>
    </row>
    <row r="50" spans="1:39" x14ac:dyDescent="0.25">
      <c r="A50" s="193" t="s">
        <v>154</v>
      </c>
      <c r="B50" s="242">
        <v>20</v>
      </c>
      <c r="C50" s="242">
        <v>21</v>
      </c>
    </row>
    <row r="51" spans="1:39" x14ac:dyDescent="0.25">
      <c r="A51" s="196" t="s">
        <v>236</v>
      </c>
      <c r="B51" s="242">
        <v>22</v>
      </c>
      <c r="C51" s="242">
        <v>23</v>
      </c>
    </row>
    <row r="52" spans="1:39" x14ac:dyDescent="0.25">
      <c r="A52" s="196" t="s">
        <v>237</v>
      </c>
      <c r="B52" s="179">
        <v>24</v>
      </c>
      <c r="C52" s="179">
        <v>25</v>
      </c>
    </row>
    <row r="53" spans="1:39" x14ac:dyDescent="0.25">
      <c r="A53" s="196" t="s">
        <v>158</v>
      </c>
      <c r="B53" s="179">
        <v>26</v>
      </c>
      <c r="C53" s="179">
        <v>27</v>
      </c>
    </row>
    <row r="54" spans="1:39" x14ac:dyDescent="0.25">
      <c r="A54" s="196" t="s">
        <v>185</v>
      </c>
      <c r="B54" s="179">
        <v>28</v>
      </c>
      <c r="C54" s="179">
        <v>29</v>
      </c>
    </row>
    <row r="55" spans="1:39" x14ac:dyDescent="0.25">
      <c r="A55" s="196" t="s">
        <v>186</v>
      </c>
      <c r="B55" s="179">
        <v>30</v>
      </c>
      <c r="C55" s="179">
        <v>31</v>
      </c>
    </row>
    <row r="56" spans="1:39" x14ac:dyDescent="0.25">
      <c r="A56" s="193" t="s">
        <v>155</v>
      </c>
      <c r="B56" s="179">
        <v>32</v>
      </c>
      <c r="C56" s="179">
        <v>33</v>
      </c>
    </row>
    <row r="57" spans="1:39" x14ac:dyDescent="0.25">
      <c r="A57" s="193" t="s">
        <v>156</v>
      </c>
      <c r="B57" s="179">
        <v>34</v>
      </c>
      <c r="C57" s="179">
        <v>35</v>
      </c>
    </row>
    <row r="58" spans="1:39" x14ac:dyDescent="0.25">
      <c r="A58" s="196" t="s">
        <v>163</v>
      </c>
      <c r="B58" s="179">
        <v>36</v>
      </c>
      <c r="C58" s="179">
        <v>37</v>
      </c>
    </row>
    <row r="59" spans="1:39" x14ac:dyDescent="0.25">
      <c r="A59" s="196" t="s">
        <v>252</v>
      </c>
      <c r="B59" s="229">
        <v>38</v>
      </c>
      <c r="C59" s="229">
        <v>38</v>
      </c>
    </row>
    <row r="61" spans="1:39" ht="13.8" x14ac:dyDescent="0.3">
      <c r="A61" s="41" t="s">
        <v>99</v>
      </c>
    </row>
    <row r="62" spans="1:39" ht="13.8" x14ac:dyDescent="0.3">
      <c r="A62" s="41" t="s">
        <v>100</v>
      </c>
    </row>
    <row r="63" spans="1:39" ht="13.8" x14ac:dyDescent="0.3">
      <c r="A63" s="41" t="s">
        <v>169</v>
      </c>
    </row>
    <row r="64" spans="1:39" ht="13.8" x14ac:dyDescent="0.3">
      <c r="A64" s="41" t="s">
        <v>228</v>
      </c>
    </row>
    <row r="65" spans="1:1" ht="13.8" x14ac:dyDescent="0.3">
      <c r="A65" s="41" t="s">
        <v>101</v>
      </c>
    </row>
    <row r="66" spans="1:1" ht="13.8" x14ac:dyDescent="0.3">
      <c r="A66" s="41" t="s">
        <v>179</v>
      </c>
    </row>
    <row r="67" spans="1:1" ht="13.8" x14ac:dyDescent="0.3">
      <c r="A67" s="41" t="s">
        <v>102</v>
      </c>
    </row>
    <row r="68" spans="1:1" ht="13.8" x14ac:dyDescent="0.3">
      <c r="A68" s="41" t="s">
        <v>180</v>
      </c>
    </row>
    <row r="69" spans="1:1" ht="13.8" x14ac:dyDescent="0.3">
      <c r="A69" s="41" t="s">
        <v>103</v>
      </c>
    </row>
    <row r="70" spans="1:1" ht="13.8" x14ac:dyDescent="0.3">
      <c r="A70" s="41" t="s">
        <v>151</v>
      </c>
    </row>
    <row r="71" spans="1:1" ht="13.8" x14ac:dyDescent="0.3">
      <c r="A71" s="41" t="s">
        <v>170</v>
      </c>
    </row>
    <row r="72" spans="1:1" ht="13.8" x14ac:dyDescent="0.3">
      <c r="A72" s="41" t="s">
        <v>104</v>
      </c>
    </row>
    <row r="73" spans="1:1" ht="13.8" x14ac:dyDescent="0.3">
      <c r="A73" s="41" t="s">
        <v>105</v>
      </c>
    </row>
    <row r="74" spans="1:1" ht="13.8" x14ac:dyDescent="0.3">
      <c r="A74" s="41" t="s">
        <v>106</v>
      </c>
    </row>
    <row r="75" spans="1:1" ht="13.8" x14ac:dyDescent="0.3">
      <c r="A75" s="194" t="s">
        <v>248</v>
      </c>
    </row>
    <row r="76" spans="1:1" ht="13.8" x14ac:dyDescent="0.3">
      <c r="A76" s="194" t="s">
        <v>247</v>
      </c>
    </row>
    <row r="77" spans="1:1" ht="13.8" x14ac:dyDescent="0.3">
      <c r="A77" s="194" t="s">
        <v>143</v>
      </c>
    </row>
    <row r="78" spans="1:1" ht="13.8" x14ac:dyDescent="0.3">
      <c r="A78" s="194" t="s">
        <v>249</v>
      </c>
    </row>
    <row r="79" spans="1:1" ht="13.8" x14ac:dyDescent="0.3">
      <c r="A79" s="97" t="s">
        <v>162</v>
      </c>
    </row>
    <row r="80" spans="1:1" ht="13.8" x14ac:dyDescent="0.3">
      <c r="A80" s="97" t="s">
        <v>250</v>
      </c>
    </row>
    <row r="81" spans="1:1" ht="13.8" x14ac:dyDescent="0.3">
      <c r="A81" s="97" t="s">
        <v>251</v>
      </c>
    </row>
    <row r="82" spans="1:1" ht="13.8" x14ac:dyDescent="0.3">
      <c r="A82" s="97" t="s">
        <v>206</v>
      </c>
    </row>
    <row r="83" spans="1:1" ht="13.8" x14ac:dyDescent="0.3">
      <c r="A83" s="97" t="s">
        <v>207</v>
      </c>
    </row>
    <row r="84" spans="1:1" ht="13.8" x14ac:dyDescent="0.3">
      <c r="A84" s="97" t="s">
        <v>208</v>
      </c>
    </row>
    <row r="85" spans="1:1" ht="13.8" x14ac:dyDescent="0.3">
      <c r="A85" s="97" t="s">
        <v>230</v>
      </c>
    </row>
    <row r="86" spans="1:1" ht="13.8" x14ac:dyDescent="0.3">
      <c r="A86" s="97" t="s">
        <v>209</v>
      </c>
    </row>
    <row r="87" spans="1:1" ht="13.8" x14ac:dyDescent="0.3">
      <c r="A87" s="97" t="s">
        <v>210</v>
      </c>
    </row>
    <row r="88" spans="1:1" ht="13.8" x14ac:dyDescent="0.3">
      <c r="A88" s="97" t="s">
        <v>211</v>
      </c>
    </row>
    <row r="89" spans="1:1" ht="13.8" x14ac:dyDescent="0.3">
      <c r="A89" s="97" t="s">
        <v>231</v>
      </c>
    </row>
    <row r="90" spans="1:1" ht="13.8" x14ac:dyDescent="0.3">
      <c r="A90" s="97" t="s">
        <v>212</v>
      </c>
    </row>
    <row r="91" spans="1:1" ht="13.8" x14ac:dyDescent="0.3">
      <c r="A91" s="97" t="s">
        <v>213</v>
      </c>
    </row>
    <row r="92" spans="1:1" ht="13.8" x14ac:dyDescent="0.3">
      <c r="A92" s="97" t="s">
        <v>214</v>
      </c>
    </row>
    <row r="93" spans="1:1" ht="13.8" x14ac:dyDescent="0.3">
      <c r="A93" s="97" t="s">
        <v>215</v>
      </c>
    </row>
    <row r="94" spans="1:1" ht="13.8" x14ac:dyDescent="0.3">
      <c r="A94" s="97" t="s">
        <v>216</v>
      </c>
    </row>
    <row r="95" spans="1:1" ht="13.8" x14ac:dyDescent="0.3">
      <c r="A95" s="97" t="s">
        <v>217</v>
      </c>
    </row>
    <row r="96" spans="1:1" ht="13.8" x14ac:dyDescent="0.3">
      <c r="A96" s="97" t="s">
        <v>238</v>
      </c>
    </row>
  </sheetData>
  <sheetProtection algorithmName="SHA-512" hashValue="J+E6/Jjsh8Mue0BZblkooBibXIe7KKNXm0ypzxjV8VZucc+K1odi5U4Dqff7OtWLvgBC/3iWcMV64NCkP4no8A==" saltValue="uw4nwIwUcGQ2QmHfUCgCkw==" spinCount="100000" sheet="1" objects="1" scenarios="1"/>
  <mergeCells count="19">
    <mergeCell ref="AL1:AM1"/>
    <mergeCell ref="D1:E1"/>
    <mergeCell ref="AJ1:AK1"/>
    <mergeCell ref="AF1:AG1"/>
    <mergeCell ref="AH1:AI1"/>
    <mergeCell ref="Z1:AA1"/>
    <mergeCell ref="AB1:AC1"/>
    <mergeCell ref="AD1:AE1"/>
    <mergeCell ref="P1:Q1"/>
    <mergeCell ref="V1:W1"/>
    <mergeCell ref="X1:Y1"/>
    <mergeCell ref="B1:C1"/>
    <mergeCell ref="F1:G1"/>
    <mergeCell ref="N1:O1"/>
    <mergeCell ref="R1:S1"/>
    <mergeCell ref="T1:U1"/>
    <mergeCell ref="H1:I1"/>
    <mergeCell ref="L1:M1"/>
    <mergeCell ref="J1:K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Q74"/>
  <sheetViews>
    <sheetView topLeftCell="K1" workbookViewId="0">
      <selection activeCell="P57" sqref="P57"/>
    </sheetView>
  </sheetViews>
  <sheetFormatPr defaultRowHeight="13.2" x14ac:dyDescent="0.25"/>
  <cols>
    <col min="1" max="1" width="28.109375" hidden="1" customWidth="1"/>
    <col min="2" max="2" width="10.33203125" hidden="1" customWidth="1"/>
    <col min="3" max="9" width="11.44140625" hidden="1" customWidth="1"/>
    <col min="10" max="10" width="13.33203125" style="29" hidden="1" customWidth="1"/>
    <col min="11" max="11" width="18.109375" bestFit="1" customWidth="1"/>
    <col min="12" max="12" width="13.109375" customWidth="1"/>
    <col min="13" max="14" width="12.6640625" bestFit="1" customWidth="1"/>
    <col min="15" max="15" width="18.77734375" bestFit="1" customWidth="1"/>
  </cols>
  <sheetData>
    <row r="1" spans="1:15" x14ac:dyDescent="0.25">
      <c r="K1" s="251"/>
      <c r="L1" s="405" t="s">
        <v>1</v>
      </c>
      <c r="M1" s="406"/>
      <c r="N1" s="230" t="s">
        <v>18</v>
      </c>
      <c r="O1" s="252" t="s">
        <v>174</v>
      </c>
    </row>
    <row r="2" spans="1:15" ht="13.8" thickBot="1" x14ac:dyDescent="0.3">
      <c r="A2" s="1"/>
      <c r="B2" s="30"/>
      <c r="C2" s="30"/>
      <c r="D2" s="30"/>
      <c r="E2" s="30"/>
      <c r="F2" s="30"/>
      <c r="G2" s="30"/>
      <c r="H2" s="30"/>
      <c r="I2" s="30"/>
      <c r="J2" s="28"/>
      <c r="K2" s="232"/>
      <c r="L2" s="232" t="s">
        <v>14</v>
      </c>
      <c r="M2" s="233" t="s">
        <v>15</v>
      </c>
      <c r="N2" s="231" t="s">
        <v>14</v>
      </c>
      <c r="O2" s="253" t="s">
        <v>175</v>
      </c>
    </row>
    <row r="3" spans="1:15" x14ac:dyDescent="0.25">
      <c r="A3" s="47"/>
      <c r="B3" s="96"/>
      <c r="C3" s="49"/>
      <c r="D3" s="48"/>
      <c r="E3" s="49"/>
      <c r="F3" s="48"/>
      <c r="G3" s="49"/>
      <c r="H3" s="48"/>
      <c r="I3" s="49"/>
      <c r="J3" s="100"/>
      <c r="K3" s="232" t="s">
        <v>97</v>
      </c>
      <c r="L3" s="69">
        <v>0.125</v>
      </c>
      <c r="M3" s="70">
        <v>0.05</v>
      </c>
      <c r="N3" s="71">
        <v>0.125</v>
      </c>
      <c r="O3" s="110">
        <v>0</v>
      </c>
    </row>
    <row r="4" spans="1:15" ht="13.8" x14ac:dyDescent="0.3">
      <c r="A4" s="61"/>
      <c r="B4" s="101"/>
      <c r="C4" s="102"/>
      <c r="D4" s="103"/>
      <c r="E4" s="102"/>
      <c r="F4" s="103"/>
      <c r="G4" s="102"/>
      <c r="H4" s="103"/>
      <c r="I4" s="102"/>
      <c r="J4" s="100"/>
      <c r="K4" s="232" t="s">
        <v>76</v>
      </c>
      <c r="L4" s="72">
        <v>0.125</v>
      </c>
      <c r="M4" s="16">
        <v>0.1</v>
      </c>
      <c r="N4" s="19">
        <v>0.125</v>
      </c>
      <c r="O4" s="111">
        <v>0</v>
      </c>
    </row>
    <row r="5" spans="1:15" ht="13.8" x14ac:dyDescent="0.3">
      <c r="A5" s="61"/>
      <c r="B5" s="101"/>
      <c r="C5" s="102"/>
      <c r="D5" s="103"/>
      <c r="E5" s="102"/>
      <c r="F5" s="103"/>
      <c r="G5" s="102"/>
      <c r="H5" s="103"/>
      <c r="I5" s="102"/>
      <c r="J5" s="100"/>
      <c r="K5" s="232" t="s">
        <v>77</v>
      </c>
      <c r="L5" s="72">
        <v>0.125</v>
      </c>
      <c r="M5" s="16">
        <v>0.15</v>
      </c>
      <c r="N5" s="19">
        <v>0.125</v>
      </c>
      <c r="O5" s="111">
        <v>0</v>
      </c>
    </row>
    <row r="6" spans="1:15" ht="13.8" x14ac:dyDescent="0.3">
      <c r="A6" s="61"/>
      <c r="B6" s="101"/>
      <c r="C6" s="102"/>
      <c r="D6" s="103"/>
      <c r="E6" s="102"/>
      <c r="F6" s="103"/>
      <c r="G6" s="102"/>
      <c r="H6" s="103"/>
      <c r="I6" s="102"/>
      <c r="J6" s="100"/>
      <c r="K6" s="232" t="s">
        <v>78</v>
      </c>
      <c r="L6" s="72">
        <v>0.125</v>
      </c>
      <c r="M6" s="16">
        <v>0.25</v>
      </c>
      <c r="N6" s="19">
        <v>0.125</v>
      </c>
      <c r="O6" s="111">
        <v>0</v>
      </c>
    </row>
    <row r="7" spans="1:15" ht="14.4" thickBot="1" x14ac:dyDescent="0.35">
      <c r="A7" s="61"/>
      <c r="B7" s="101"/>
      <c r="C7" s="102"/>
      <c r="D7" s="103"/>
      <c r="E7" s="159"/>
      <c r="F7" s="103"/>
      <c r="G7" s="102"/>
      <c r="H7" s="103"/>
      <c r="I7" s="102"/>
      <c r="J7" s="100"/>
      <c r="K7" s="232" t="s">
        <v>19</v>
      </c>
      <c r="L7" s="73">
        <v>0</v>
      </c>
      <c r="M7" s="74">
        <v>0</v>
      </c>
      <c r="N7" s="75">
        <v>0</v>
      </c>
      <c r="O7" s="112">
        <v>0</v>
      </c>
    </row>
    <row r="8" spans="1:15" ht="13.8" x14ac:dyDescent="0.3">
      <c r="A8" s="61"/>
      <c r="B8" s="101"/>
      <c r="C8" s="102"/>
      <c r="D8" s="103"/>
      <c r="E8" s="102"/>
      <c r="F8" s="103"/>
      <c r="G8" s="102"/>
      <c r="H8" s="103"/>
      <c r="I8" s="102"/>
      <c r="J8" s="100"/>
      <c r="K8" s="254" t="s">
        <v>187</v>
      </c>
      <c r="L8" s="72">
        <v>7.4999999999999997E-2</v>
      </c>
      <c r="M8" s="16">
        <v>0</v>
      </c>
      <c r="N8" s="19">
        <v>0</v>
      </c>
      <c r="O8" s="111">
        <v>0</v>
      </c>
    </row>
    <row r="9" spans="1:15" ht="13.8" x14ac:dyDescent="0.3">
      <c r="A9" s="61"/>
      <c r="B9" s="101"/>
      <c r="C9" s="102"/>
      <c r="D9" s="103"/>
      <c r="E9" s="102"/>
      <c r="F9" s="103"/>
      <c r="G9" s="102"/>
      <c r="H9" s="103"/>
      <c r="I9" s="102"/>
      <c r="J9" s="100"/>
      <c r="K9" s="255" t="s">
        <v>188</v>
      </c>
      <c r="L9" s="72">
        <v>7.4999999999999997E-2</v>
      </c>
      <c r="M9" s="16">
        <v>0</v>
      </c>
      <c r="N9" s="19">
        <v>0</v>
      </c>
      <c r="O9" s="111">
        <v>0</v>
      </c>
    </row>
    <row r="10" spans="1:15" ht="14.4" thickBot="1" x14ac:dyDescent="0.35">
      <c r="A10" s="61"/>
      <c r="B10" s="101"/>
      <c r="C10" s="102"/>
      <c r="D10" s="103"/>
      <c r="E10" s="102"/>
      <c r="F10" s="103"/>
      <c r="G10" s="102"/>
      <c r="H10" s="103"/>
      <c r="I10" s="102"/>
      <c r="J10" s="100"/>
      <c r="K10" s="256" t="s">
        <v>196</v>
      </c>
      <c r="L10" s="73">
        <v>7.4999999999999997E-2</v>
      </c>
      <c r="M10" s="74">
        <v>0</v>
      </c>
      <c r="N10" s="75">
        <v>0</v>
      </c>
      <c r="O10" s="112">
        <v>0</v>
      </c>
    </row>
    <row r="11" spans="1:15" ht="13.8" hidden="1" x14ac:dyDescent="0.3">
      <c r="A11" s="61"/>
      <c r="B11" s="101"/>
      <c r="C11" s="102"/>
      <c r="D11" s="103"/>
      <c r="E11" s="102"/>
      <c r="F11" s="103"/>
      <c r="G11" s="102"/>
      <c r="H11" s="103"/>
      <c r="I11" s="102"/>
      <c r="J11" s="100"/>
      <c r="L11" s="245"/>
      <c r="M11" s="16"/>
      <c r="N11" s="16"/>
      <c r="O11" s="234"/>
    </row>
    <row r="12" spans="1:15" ht="13.8" hidden="1" x14ac:dyDescent="0.3">
      <c r="A12" s="61"/>
      <c r="B12" s="101"/>
      <c r="C12" s="102"/>
      <c r="D12" s="103"/>
      <c r="E12" s="102"/>
      <c r="F12" s="103"/>
      <c r="G12" s="102"/>
      <c r="H12" s="103"/>
      <c r="I12" s="102"/>
      <c r="J12" s="100"/>
      <c r="L12" s="245"/>
      <c r="M12" s="16"/>
      <c r="N12" s="16"/>
      <c r="O12" s="234"/>
    </row>
    <row r="13" spans="1:15" ht="13.8" hidden="1" x14ac:dyDescent="0.3">
      <c r="A13" s="61"/>
      <c r="B13" s="101"/>
      <c r="C13" s="102"/>
      <c r="D13" s="103"/>
      <c r="E13" s="102"/>
      <c r="F13" s="103"/>
      <c r="G13" s="102"/>
      <c r="H13" s="103"/>
      <c r="I13" s="102"/>
      <c r="J13" s="100"/>
      <c r="L13" s="245"/>
      <c r="M13" s="16"/>
      <c r="N13" s="16"/>
      <c r="O13" s="234"/>
    </row>
    <row r="14" spans="1:15" ht="13.8" hidden="1" x14ac:dyDescent="0.3">
      <c r="A14" s="61"/>
      <c r="B14" s="101"/>
      <c r="C14" s="102"/>
      <c r="D14" s="103"/>
      <c r="E14" s="102"/>
      <c r="F14" s="103"/>
      <c r="G14" s="102"/>
      <c r="H14" s="103"/>
      <c r="I14" s="102"/>
      <c r="L14" s="245"/>
      <c r="M14" s="16"/>
      <c r="N14" s="16"/>
      <c r="O14" s="234"/>
    </row>
    <row r="15" spans="1:15" ht="13.8" hidden="1" x14ac:dyDescent="0.3">
      <c r="A15" s="61"/>
      <c r="B15" s="101"/>
      <c r="C15" s="102"/>
      <c r="D15" s="103"/>
      <c r="E15" s="102"/>
      <c r="F15" s="103"/>
      <c r="G15" s="102"/>
      <c r="H15" s="103"/>
      <c r="I15" s="102"/>
      <c r="L15" s="245"/>
      <c r="M15" s="16"/>
      <c r="N15" s="16"/>
      <c r="O15" s="234"/>
    </row>
    <row r="16" spans="1:15" ht="13.8" hidden="1" x14ac:dyDescent="0.3">
      <c r="A16" s="61"/>
      <c r="B16" s="101"/>
      <c r="C16" s="102"/>
      <c r="D16" s="103"/>
      <c r="E16" s="102"/>
      <c r="F16" s="103"/>
      <c r="G16" s="102"/>
      <c r="H16" s="103"/>
      <c r="I16" s="102"/>
      <c r="L16" s="245"/>
      <c r="M16" s="16"/>
      <c r="N16" s="16"/>
      <c r="O16" s="234"/>
    </row>
    <row r="17" spans="1:17" ht="13.8" hidden="1" x14ac:dyDescent="0.3">
      <c r="A17" s="61"/>
      <c r="B17" s="101"/>
      <c r="C17" s="102"/>
      <c r="D17" s="103"/>
      <c r="E17" s="102"/>
      <c r="F17" s="103"/>
      <c r="G17" s="102"/>
      <c r="H17" s="103"/>
      <c r="I17" s="102"/>
      <c r="L17" s="245"/>
      <c r="M17" s="16"/>
      <c r="N17" s="16"/>
      <c r="O17" s="234"/>
    </row>
    <row r="18" spans="1:17" ht="13.8" hidden="1" x14ac:dyDescent="0.3">
      <c r="A18" s="61"/>
      <c r="B18" s="101"/>
      <c r="C18" s="102"/>
      <c r="D18" s="103"/>
      <c r="E18" s="102"/>
      <c r="F18" s="103"/>
      <c r="G18" s="102"/>
      <c r="H18" s="103"/>
      <c r="I18" s="102"/>
      <c r="L18" s="245"/>
      <c r="M18" s="16"/>
      <c r="N18" s="16"/>
      <c r="O18" s="234"/>
    </row>
    <row r="19" spans="1:17" ht="13.8" hidden="1" x14ac:dyDescent="0.3">
      <c r="A19" s="61"/>
      <c r="B19" s="101"/>
      <c r="C19" s="102"/>
      <c r="D19" s="103"/>
      <c r="E19" s="102"/>
      <c r="F19" s="103"/>
      <c r="G19" s="102"/>
      <c r="H19" s="103"/>
      <c r="I19" s="102"/>
      <c r="L19" s="245"/>
      <c r="M19" s="16"/>
      <c r="N19" s="16"/>
      <c r="O19" s="234"/>
    </row>
    <row r="20" spans="1:17" ht="13.8" hidden="1" x14ac:dyDescent="0.3">
      <c r="A20" s="61"/>
      <c r="B20" s="101"/>
      <c r="C20" s="102"/>
      <c r="D20" s="103"/>
      <c r="E20" s="102"/>
      <c r="F20" s="103"/>
      <c r="G20" s="102"/>
      <c r="H20" s="103"/>
      <c r="I20" s="102"/>
      <c r="L20" s="245"/>
      <c r="M20" s="16"/>
      <c r="N20" s="16"/>
      <c r="O20" s="234"/>
    </row>
    <row r="21" spans="1:17" ht="13.8" hidden="1" x14ac:dyDescent="0.3">
      <c r="A21" s="61"/>
      <c r="B21" s="101"/>
      <c r="C21" s="102"/>
      <c r="D21" s="103"/>
      <c r="E21" s="102"/>
      <c r="F21" s="103"/>
      <c r="G21" s="102"/>
      <c r="H21" s="103"/>
      <c r="I21" s="102"/>
      <c r="L21" s="245"/>
      <c r="M21" s="16"/>
      <c r="N21" s="16"/>
      <c r="O21" s="234"/>
    </row>
    <row r="22" spans="1:17" ht="13.8" hidden="1" x14ac:dyDescent="0.3">
      <c r="A22" s="61"/>
      <c r="B22" s="101"/>
      <c r="C22" s="102"/>
      <c r="D22" s="103"/>
      <c r="E22" s="102"/>
      <c r="F22" s="103"/>
      <c r="G22" s="102"/>
      <c r="H22" s="103"/>
      <c r="I22" s="102"/>
      <c r="L22" s="245"/>
      <c r="M22" s="16"/>
      <c r="N22" s="16"/>
      <c r="O22" s="234"/>
    </row>
    <row r="23" spans="1:17" ht="13.8" hidden="1" x14ac:dyDescent="0.3">
      <c r="A23" s="61"/>
      <c r="B23" s="101"/>
      <c r="C23" s="102"/>
      <c r="D23" s="103"/>
      <c r="E23" s="102"/>
      <c r="F23" s="103"/>
      <c r="G23" s="102"/>
      <c r="H23" s="103"/>
      <c r="I23" s="102"/>
      <c r="L23" s="245"/>
      <c r="M23" s="16"/>
      <c r="N23" s="16"/>
      <c r="O23" s="234"/>
    </row>
    <row r="24" spans="1:17" ht="13.8" hidden="1" x14ac:dyDescent="0.3">
      <c r="A24" s="61"/>
      <c r="B24" s="101"/>
      <c r="C24" s="102"/>
      <c r="D24" s="103"/>
      <c r="E24" s="102"/>
      <c r="F24" s="103"/>
      <c r="G24" s="102"/>
      <c r="H24" s="103"/>
      <c r="I24" s="102"/>
      <c r="L24" s="245"/>
      <c r="M24" s="16"/>
      <c r="N24" s="16"/>
      <c r="O24" s="234"/>
    </row>
    <row r="25" spans="1:17" ht="13.8" hidden="1" x14ac:dyDescent="0.3">
      <c r="A25" s="62"/>
      <c r="B25" s="104"/>
      <c r="C25" s="105"/>
      <c r="D25" s="106"/>
      <c r="E25" s="105"/>
      <c r="F25" s="106"/>
      <c r="G25" s="105"/>
      <c r="H25" s="106"/>
      <c r="I25" s="105"/>
      <c r="L25" s="245"/>
      <c r="M25" s="16"/>
      <c r="N25" s="16"/>
      <c r="O25" s="234"/>
    </row>
    <row r="26" spans="1:17" hidden="1" x14ac:dyDescent="0.25">
      <c r="A26" s="29"/>
      <c r="B26" s="100"/>
      <c r="C26" s="100"/>
      <c r="D26" s="100"/>
      <c r="E26" s="100"/>
      <c r="F26" s="100"/>
      <c r="G26" s="100"/>
      <c r="H26" s="100"/>
      <c r="I26" s="100"/>
      <c r="L26" s="245"/>
      <c r="M26" s="16"/>
      <c r="N26" s="16"/>
      <c r="O26" s="234"/>
    </row>
    <row r="27" spans="1:17" hidden="1" x14ac:dyDescent="0.25">
      <c r="A27" s="28" t="s">
        <v>72</v>
      </c>
      <c r="B27" s="107" t="s">
        <v>73</v>
      </c>
      <c r="C27" s="107" t="s">
        <v>8</v>
      </c>
      <c r="D27" s="100"/>
      <c r="E27" s="100"/>
      <c r="F27" s="100"/>
      <c r="G27" s="100"/>
      <c r="H27" s="100"/>
      <c r="I27" s="100"/>
      <c r="L27" s="245"/>
      <c r="M27" s="16"/>
      <c r="N27" s="16"/>
      <c r="O27" s="234"/>
    </row>
    <row r="28" spans="1:17" ht="13.8" hidden="1" x14ac:dyDescent="0.3">
      <c r="A28" s="97" t="s">
        <v>63</v>
      </c>
      <c r="B28" s="108">
        <v>2</v>
      </c>
      <c r="C28" s="108">
        <v>3</v>
      </c>
      <c r="D28" s="109"/>
      <c r="E28" s="109"/>
      <c r="F28" s="109"/>
      <c r="G28" s="109"/>
      <c r="H28" s="109"/>
      <c r="I28" s="109"/>
      <c r="L28" s="245"/>
      <c r="M28" s="16"/>
      <c r="N28" s="16"/>
      <c r="O28" s="234"/>
    </row>
    <row r="29" spans="1:17" ht="13.8" hidden="1" x14ac:dyDescent="0.3">
      <c r="A29" s="97" t="s">
        <v>65</v>
      </c>
      <c r="B29" s="108">
        <v>4</v>
      </c>
      <c r="C29" s="108">
        <v>5</v>
      </c>
      <c r="L29" s="245"/>
      <c r="M29" s="16"/>
      <c r="N29" s="16"/>
      <c r="O29" s="234"/>
    </row>
    <row r="30" spans="1:17" ht="13.8" hidden="1" x14ac:dyDescent="0.3">
      <c r="A30" s="97" t="s">
        <v>74</v>
      </c>
      <c r="B30" s="108">
        <v>6</v>
      </c>
      <c r="C30" s="108">
        <v>7</v>
      </c>
      <c r="L30" s="245"/>
      <c r="M30" s="16"/>
      <c r="N30" s="16"/>
      <c r="O30" s="234"/>
    </row>
    <row r="31" spans="1:17" ht="13.8" hidden="1" x14ac:dyDescent="0.3">
      <c r="A31" s="97" t="s">
        <v>67</v>
      </c>
      <c r="B31" s="108">
        <v>8</v>
      </c>
      <c r="C31" s="108">
        <v>9</v>
      </c>
      <c r="L31" s="245"/>
      <c r="M31" s="16"/>
      <c r="N31" s="16"/>
      <c r="O31" s="234"/>
    </row>
    <row r="32" spans="1:17" hidden="1" x14ac:dyDescent="0.25">
      <c r="B32" s="30" t="s">
        <v>63</v>
      </c>
      <c r="C32" s="30" t="s">
        <v>63</v>
      </c>
      <c r="D32" s="30" t="s">
        <v>65</v>
      </c>
      <c r="E32" s="30" t="s">
        <v>65</v>
      </c>
      <c r="F32" s="30" t="s">
        <v>66</v>
      </c>
      <c r="G32" s="30" t="s">
        <v>66</v>
      </c>
      <c r="H32" s="30" t="s">
        <v>67</v>
      </c>
      <c r="I32" s="30" t="s">
        <v>67</v>
      </c>
      <c r="J32" s="150" t="s">
        <v>65</v>
      </c>
      <c r="K32" s="30" t="s">
        <v>66</v>
      </c>
      <c r="L32" s="246" t="s">
        <v>67</v>
      </c>
      <c r="M32" s="244" t="s">
        <v>63</v>
      </c>
      <c r="N32" s="244" t="s">
        <v>67</v>
      </c>
      <c r="O32" s="247" t="s">
        <v>63</v>
      </c>
      <c r="P32" s="30" t="s">
        <v>65</v>
      </c>
      <c r="Q32" s="30" t="s">
        <v>66</v>
      </c>
    </row>
    <row r="33" spans="1:17" hidden="1" x14ac:dyDescent="0.25">
      <c r="B33" s="96" t="s">
        <v>10</v>
      </c>
      <c r="C33" s="49" t="s">
        <v>8</v>
      </c>
      <c r="D33" s="96" t="s">
        <v>10</v>
      </c>
      <c r="E33" s="49" t="s">
        <v>8</v>
      </c>
      <c r="F33" s="96" t="s">
        <v>10</v>
      </c>
      <c r="G33" s="49" t="s">
        <v>8</v>
      </c>
      <c r="H33" s="96" t="s">
        <v>10</v>
      </c>
      <c r="I33" s="49" t="s">
        <v>8</v>
      </c>
      <c r="J33" s="151" t="s">
        <v>120</v>
      </c>
      <c r="K33" s="151" t="s">
        <v>132</v>
      </c>
      <c r="L33" s="248" t="s">
        <v>131</v>
      </c>
      <c r="M33" s="243" t="s">
        <v>133</v>
      </c>
      <c r="N33" s="243" t="s">
        <v>134</v>
      </c>
      <c r="O33" s="249" t="s">
        <v>135</v>
      </c>
      <c r="P33" s="151" t="s">
        <v>136</v>
      </c>
      <c r="Q33" s="151" t="s">
        <v>137</v>
      </c>
    </row>
    <row r="34" spans="1:17" ht="13.8" hidden="1" x14ac:dyDescent="0.3">
      <c r="A34" s="97" t="s">
        <v>99</v>
      </c>
      <c r="B34" s="101">
        <v>300</v>
      </c>
      <c r="C34" s="149">
        <v>180</v>
      </c>
      <c r="D34" s="146">
        <v>200</v>
      </c>
      <c r="E34" s="146">
        <v>115</v>
      </c>
      <c r="F34" s="148">
        <v>268</v>
      </c>
      <c r="G34" s="148">
        <v>164</v>
      </c>
      <c r="H34" s="138">
        <v>345</v>
      </c>
      <c r="I34" s="138">
        <v>208</v>
      </c>
      <c r="J34" s="152">
        <f t="shared" ref="J34:J45" si="0">C34*$B$62</f>
        <v>91.782000000000011</v>
      </c>
      <c r="K34" s="152">
        <f t="shared" ref="K34:K45" si="1">C34*$B$63</f>
        <v>122.886</v>
      </c>
      <c r="L34" s="250">
        <f t="shared" ref="L34:L45" si="2">C34*$B$64</f>
        <v>200.34</v>
      </c>
      <c r="M34" s="16">
        <f t="shared" ref="M34:M45" si="3">E34*$B$65</f>
        <v>225.4</v>
      </c>
      <c r="N34" s="16">
        <f t="shared" ref="N34:N45" si="4">E34*$B$66</f>
        <v>250.976</v>
      </c>
      <c r="O34" s="234">
        <f t="shared" ref="O34:O45" si="5">I34*$B$67</f>
        <v>186.90879999999999</v>
      </c>
      <c r="P34" s="138">
        <f t="shared" ref="P34:P45" si="6">I34*$B$68</f>
        <v>95.26400000000001</v>
      </c>
      <c r="Q34" s="138">
        <f t="shared" ref="Q34:Q45" si="7">I34*$B$69</f>
        <v>127.56639999999999</v>
      </c>
    </row>
    <row r="35" spans="1:17" ht="13.8" hidden="1" x14ac:dyDescent="0.3">
      <c r="A35" s="97" t="s">
        <v>100</v>
      </c>
      <c r="B35" s="101">
        <v>260</v>
      </c>
      <c r="C35" s="149">
        <v>133</v>
      </c>
      <c r="D35" s="146">
        <v>175</v>
      </c>
      <c r="E35" s="146">
        <v>84</v>
      </c>
      <c r="F35" s="148">
        <v>234</v>
      </c>
      <c r="G35" s="148">
        <v>99</v>
      </c>
      <c r="H35" s="138">
        <v>315</v>
      </c>
      <c r="I35" s="138">
        <v>159</v>
      </c>
      <c r="J35" s="152">
        <f t="shared" si="0"/>
        <v>67.816699999999997</v>
      </c>
      <c r="K35" s="152">
        <f t="shared" si="1"/>
        <v>90.799099999999996</v>
      </c>
      <c r="L35" s="250">
        <f t="shared" si="2"/>
        <v>148.029</v>
      </c>
      <c r="M35" s="16">
        <f t="shared" si="3"/>
        <v>164.64</v>
      </c>
      <c r="N35" s="16">
        <f t="shared" si="4"/>
        <v>183.32159999999999</v>
      </c>
      <c r="O35" s="234">
        <f t="shared" si="5"/>
        <v>142.87739999999999</v>
      </c>
      <c r="P35" s="138">
        <f t="shared" si="6"/>
        <v>72.822000000000003</v>
      </c>
      <c r="Q35" s="138">
        <f t="shared" si="7"/>
        <v>97.514699999999991</v>
      </c>
    </row>
    <row r="36" spans="1:17" ht="13.8" hidden="1" x14ac:dyDescent="0.3">
      <c r="A36" s="97" t="s">
        <v>101</v>
      </c>
      <c r="B36" s="101">
        <v>260</v>
      </c>
      <c r="C36" s="149">
        <v>106</v>
      </c>
      <c r="D36" s="147">
        <v>175</v>
      </c>
      <c r="E36" s="146">
        <v>77</v>
      </c>
      <c r="F36" s="148">
        <v>234</v>
      </c>
      <c r="G36" s="148">
        <v>104</v>
      </c>
      <c r="H36" s="138">
        <v>315</v>
      </c>
      <c r="I36" s="138">
        <v>99</v>
      </c>
      <c r="J36" s="152">
        <f t="shared" si="0"/>
        <v>54.049400000000006</v>
      </c>
      <c r="K36" s="152">
        <f t="shared" si="1"/>
        <v>72.366199999999992</v>
      </c>
      <c r="L36" s="250">
        <f t="shared" si="2"/>
        <v>117.97799999999999</v>
      </c>
      <c r="M36" s="16">
        <f t="shared" si="3"/>
        <v>150.91999999999999</v>
      </c>
      <c r="N36" s="16">
        <f t="shared" si="4"/>
        <v>168.04479999999998</v>
      </c>
      <c r="O36" s="234">
        <f t="shared" si="5"/>
        <v>88.961399999999998</v>
      </c>
      <c r="P36" s="138">
        <f t="shared" si="6"/>
        <v>45.341999999999999</v>
      </c>
      <c r="Q36" s="138">
        <f t="shared" si="7"/>
        <v>60.716699999999996</v>
      </c>
    </row>
    <row r="37" spans="1:17" ht="13.8" hidden="1" x14ac:dyDescent="0.3">
      <c r="A37" s="97" t="s">
        <v>102</v>
      </c>
      <c r="B37" s="101">
        <v>225</v>
      </c>
      <c r="C37" s="149">
        <v>88</v>
      </c>
      <c r="D37" s="147">
        <v>150</v>
      </c>
      <c r="E37" s="146">
        <v>57</v>
      </c>
      <c r="F37" s="148">
        <v>201</v>
      </c>
      <c r="G37" s="148">
        <v>69</v>
      </c>
      <c r="H37" s="138">
        <v>275</v>
      </c>
      <c r="I37" s="138">
        <v>106</v>
      </c>
      <c r="J37" s="152">
        <f t="shared" si="0"/>
        <v>44.871200000000002</v>
      </c>
      <c r="K37" s="152">
        <f t="shared" si="1"/>
        <v>60.077599999999997</v>
      </c>
      <c r="L37" s="250">
        <f t="shared" si="2"/>
        <v>97.944000000000003</v>
      </c>
      <c r="M37" s="16">
        <f t="shared" si="3"/>
        <v>111.72</v>
      </c>
      <c r="N37" s="16">
        <f t="shared" si="4"/>
        <v>124.3968</v>
      </c>
      <c r="O37" s="234">
        <f t="shared" si="5"/>
        <v>95.251599999999996</v>
      </c>
      <c r="P37" s="138">
        <f t="shared" si="6"/>
        <v>48.548000000000002</v>
      </c>
      <c r="Q37" s="138">
        <f t="shared" si="7"/>
        <v>65.009799999999998</v>
      </c>
    </row>
    <row r="38" spans="1:17" ht="13.8" hidden="1" x14ac:dyDescent="0.3">
      <c r="A38" s="97" t="s">
        <v>103</v>
      </c>
      <c r="B38" s="101">
        <v>200</v>
      </c>
      <c r="C38" s="149">
        <v>77</v>
      </c>
      <c r="D38" s="147">
        <v>125</v>
      </c>
      <c r="E38" s="146">
        <v>40</v>
      </c>
      <c r="F38" s="148">
        <v>167</v>
      </c>
      <c r="G38" s="148">
        <v>52</v>
      </c>
      <c r="H38" s="138">
        <v>205</v>
      </c>
      <c r="I38" s="138">
        <v>74</v>
      </c>
      <c r="J38" s="152">
        <f t="shared" si="0"/>
        <v>39.262300000000003</v>
      </c>
      <c r="K38" s="152">
        <f t="shared" si="1"/>
        <v>52.567899999999995</v>
      </c>
      <c r="L38" s="250">
        <f t="shared" si="2"/>
        <v>85.700999999999993</v>
      </c>
      <c r="M38" s="16">
        <f t="shared" si="3"/>
        <v>78.400000000000006</v>
      </c>
      <c r="N38" s="16">
        <f t="shared" si="4"/>
        <v>87.295999999999992</v>
      </c>
      <c r="O38" s="234">
        <f t="shared" si="5"/>
        <v>66.496399999999994</v>
      </c>
      <c r="P38" s="138">
        <f t="shared" si="6"/>
        <v>33.892000000000003</v>
      </c>
      <c r="Q38" s="138">
        <f t="shared" si="7"/>
        <v>45.3842</v>
      </c>
    </row>
    <row r="39" spans="1:17" ht="13.8" hidden="1" x14ac:dyDescent="0.3">
      <c r="A39" s="97" t="s">
        <v>144</v>
      </c>
      <c r="B39" s="101">
        <v>0</v>
      </c>
      <c r="C39" s="149">
        <v>0</v>
      </c>
      <c r="D39" s="147">
        <v>68.75</v>
      </c>
      <c r="E39" s="146">
        <v>21</v>
      </c>
      <c r="F39" s="148">
        <v>68.75</v>
      </c>
      <c r="G39" s="148">
        <v>27</v>
      </c>
      <c r="H39" s="138">
        <v>0</v>
      </c>
      <c r="I39" s="138">
        <v>0</v>
      </c>
      <c r="J39" s="152">
        <f t="shared" si="0"/>
        <v>0</v>
      </c>
      <c r="K39" s="152">
        <f t="shared" si="1"/>
        <v>0</v>
      </c>
      <c r="L39" s="250">
        <f t="shared" si="2"/>
        <v>0</v>
      </c>
      <c r="M39" s="16">
        <f t="shared" si="3"/>
        <v>41.16</v>
      </c>
      <c r="N39" s="16">
        <f t="shared" si="4"/>
        <v>45.830399999999997</v>
      </c>
      <c r="O39" s="234">
        <f t="shared" si="5"/>
        <v>0</v>
      </c>
      <c r="P39" s="138">
        <f t="shared" si="6"/>
        <v>0</v>
      </c>
      <c r="Q39" s="138">
        <f t="shared" si="7"/>
        <v>0</v>
      </c>
    </row>
    <row r="40" spans="1:17" ht="13.8" hidden="1" x14ac:dyDescent="0.3">
      <c r="A40" s="97" t="s">
        <v>104</v>
      </c>
      <c r="B40" s="101">
        <v>260</v>
      </c>
      <c r="C40" s="149">
        <v>106</v>
      </c>
      <c r="D40" s="147">
        <v>175</v>
      </c>
      <c r="E40" s="146">
        <v>77</v>
      </c>
      <c r="F40" s="148">
        <v>234</v>
      </c>
      <c r="G40" s="148">
        <v>104</v>
      </c>
      <c r="H40" s="138">
        <v>315</v>
      </c>
      <c r="I40" s="138">
        <v>99</v>
      </c>
      <c r="J40" s="152">
        <f t="shared" si="0"/>
        <v>54.049400000000006</v>
      </c>
      <c r="K40" s="152">
        <f t="shared" si="1"/>
        <v>72.366199999999992</v>
      </c>
      <c r="L40" s="250">
        <f t="shared" si="2"/>
        <v>117.97799999999999</v>
      </c>
      <c r="M40" s="16">
        <f t="shared" si="3"/>
        <v>150.91999999999999</v>
      </c>
      <c r="N40" s="16">
        <f t="shared" si="4"/>
        <v>168.04479999999998</v>
      </c>
      <c r="O40" s="234">
        <f t="shared" si="5"/>
        <v>88.961399999999998</v>
      </c>
      <c r="P40" s="138">
        <f t="shared" si="6"/>
        <v>45.341999999999999</v>
      </c>
      <c r="Q40" s="138">
        <f t="shared" si="7"/>
        <v>60.716699999999996</v>
      </c>
    </row>
    <row r="41" spans="1:17" ht="13.8" hidden="1" x14ac:dyDescent="0.3">
      <c r="A41" s="97" t="s">
        <v>105</v>
      </c>
      <c r="B41" s="101">
        <v>225</v>
      </c>
      <c r="C41" s="149">
        <v>88</v>
      </c>
      <c r="D41" s="147">
        <v>150</v>
      </c>
      <c r="E41" s="146">
        <v>57</v>
      </c>
      <c r="F41" s="148">
        <v>201</v>
      </c>
      <c r="G41" s="148">
        <v>69</v>
      </c>
      <c r="H41" s="138">
        <v>275</v>
      </c>
      <c r="I41" s="138">
        <v>106</v>
      </c>
      <c r="J41" s="152">
        <f t="shared" si="0"/>
        <v>44.871200000000002</v>
      </c>
      <c r="K41" s="152">
        <f t="shared" si="1"/>
        <v>60.077599999999997</v>
      </c>
      <c r="L41" s="250">
        <f t="shared" si="2"/>
        <v>97.944000000000003</v>
      </c>
      <c r="M41" s="16">
        <f t="shared" si="3"/>
        <v>111.72</v>
      </c>
      <c r="N41" s="16">
        <f t="shared" si="4"/>
        <v>124.3968</v>
      </c>
      <c r="O41" s="234">
        <f t="shared" si="5"/>
        <v>95.251599999999996</v>
      </c>
      <c r="P41" s="138">
        <f t="shared" si="6"/>
        <v>48.548000000000002</v>
      </c>
      <c r="Q41" s="138">
        <f t="shared" si="7"/>
        <v>65.009799999999998</v>
      </c>
    </row>
    <row r="42" spans="1:17" ht="13.8" hidden="1" x14ac:dyDescent="0.3">
      <c r="A42" s="97" t="s">
        <v>106</v>
      </c>
      <c r="B42" s="101">
        <v>200</v>
      </c>
      <c r="C42" s="149">
        <v>77</v>
      </c>
      <c r="D42" s="147">
        <v>125</v>
      </c>
      <c r="E42" s="146">
        <v>40</v>
      </c>
      <c r="F42" s="148">
        <v>167</v>
      </c>
      <c r="G42" s="148">
        <v>52</v>
      </c>
      <c r="H42" s="138">
        <v>205</v>
      </c>
      <c r="I42" s="138">
        <v>74</v>
      </c>
      <c r="J42" s="152">
        <f t="shared" si="0"/>
        <v>39.262300000000003</v>
      </c>
      <c r="K42" s="152">
        <f t="shared" si="1"/>
        <v>52.567899999999995</v>
      </c>
      <c r="L42" s="250">
        <f t="shared" si="2"/>
        <v>85.700999999999993</v>
      </c>
      <c r="M42" s="16">
        <f t="shared" si="3"/>
        <v>78.400000000000006</v>
      </c>
      <c r="N42" s="16">
        <f t="shared" si="4"/>
        <v>87.295999999999992</v>
      </c>
      <c r="O42" s="234">
        <f t="shared" si="5"/>
        <v>66.496399999999994</v>
      </c>
      <c r="P42" s="138">
        <f t="shared" si="6"/>
        <v>33.892000000000003</v>
      </c>
      <c r="Q42" s="138">
        <f t="shared" si="7"/>
        <v>45.3842</v>
      </c>
    </row>
    <row r="43" spans="1:17" ht="13.8" hidden="1" x14ac:dyDescent="0.3">
      <c r="A43" s="97" t="s">
        <v>143</v>
      </c>
      <c r="B43" s="101">
        <v>260</v>
      </c>
      <c r="C43" s="149">
        <v>106</v>
      </c>
      <c r="D43" s="147">
        <v>175</v>
      </c>
      <c r="E43" s="146">
        <v>77</v>
      </c>
      <c r="F43" s="148">
        <v>234</v>
      </c>
      <c r="G43" s="148">
        <v>104</v>
      </c>
      <c r="H43" s="138">
        <v>315</v>
      </c>
      <c r="I43" s="138">
        <v>99</v>
      </c>
      <c r="J43" s="152">
        <f>C43*$B$62</f>
        <v>54.049400000000006</v>
      </c>
      <c r="K43" s="152">
        <f>C43*$B$63</f>
        <v>72.366199999999992</v>
      </c>
      <c r="L43" s="250">
        <f>C43*$B$64</f>
        <v>117.97799999999999</v>
      </c>
      <c r="M43" s="16">
        <f>E43*$B$65</f>
        <v>150.91999999999999</v>
      </c>
      <c r="N43" s="16">
        <f>E43*$B$66</f>
        <v>168.04479999999998</v>
      </c>
      <c r="O43" s="234">
        <f>I43*$B$67</f>
        <v>88.961399999999998</v>
      </c>
      <c r="P43" s="138">
        <f>I43*$B$68</f>
        <v>45.341999999999999</v>
      </c>
      <c r="Q43" s="138">
        <f>I43*$B$69</f>
        <v>60.716699999999996</v>
      </c>
    </row>
    <row r="44" spans="1:17" ht="13.8" hidden="1" x14ac:dyDescent="0.3">
      <c r="A44" s="97" t="s">
        <v>70</v>
      </c>
      <c r="B44" s="101">
        <v>53</v>
      </c>
      <c r="C44" s="149">
        <v>24</v>
      </c>
      <c r="D44" s="147">
        <v>35</v>
      </c>
      <c r="E44" s="146">
        <v>14</v>
      </c>
      <c r="F44" s="148">
        <v>43</v>
      </c>
      <c r="G44" s="148">
        <v>20</v>
      </c>
      <c r="H44" s="138">
        <v>68</v>
      </c>
      <c r="I44" s="138">
        <v>23</v>
      </c>
      <c r="J44" s="152">
        <f t="shared" si="0"/>
        <v>12.2376</v>
      </c>
      <c r="K44" s="152">
        <f t="shared" si="1"/>
        <v>16.384799999999998</v>
      </c>
      <c r="L44" s="250">
        <f t="shared" si="2"/>
        <v>26.712</v>
      </c>
      <c r="M44" s="16">
        <f t="shared" si="3"/>
        <v>27.439999999999998</v>
      </c>
      <c r="N44" s="16">
        <f t="shared" si="4"/>
        <v>30.553599999999999</v>
      </c>
      <c r="O44" s="234">
        <f t="shared" si="5"/>
        <v>20.6678</v>
      </c>
      <c r="P44" s="138">
        <f t="shared" si="6"/>
        <v>10.534000000000001</v>
      </c>
      <c r="Q44" s="138">
        <f t="shared" si="7"/>
        <v>14.105899999999998</v>
      </c>
    </row>
    <row r="45" spans="1:17" ht="13.8" hidden="1" x14ac:dyDescent="0.3">
      <c r="A45" s="97" t="s">
        <v>71</v>
      </c>
      <c r="B45" s="104">
        <v>63</v>
      </c>
      <c r="C45" s="153">
        <v>28</v>
      </c>
      <c r="D45" s="147">
        <v>43</v>
      </c>
      <c r="E45" s="146">
        <v>16</v>
      </c>
      <c r="F45" s="148">
        <v>53</v>
      </c>
      <c r="G45" s="148">
        <v>23</v>
      </c>
      <c r="H45" s="138">
        <v>78</v>
      </c>
      <c r="I45" s="138">
        <v>37</v>
      </c>
      <c r="J45" s="152">
        <f t="shared" si="0"/>
        <v>14.277200000000001</v>
      </c>
      <c r="K45" s="152">
        <f t="shared" si="1"/>
        <v>19.115600000000001</v>
      </c>
      <c r="L45" s="250">
        <f t="shared" si="2"/>
        <v>31.164000000000001</v>
      </c>
      <c r="M45" s="16">
        <f t="shared" si="3"/>
        <v>31.36</v>
      </c>
      <c r="N45" s="16">
        <f t="shared" si="4"/>
        <v>34.918399999999998</v>
      </c>
      <c r="O45" s="234">
        <f t="shared" si="5"/>
        <v>33.248199999999997</v>
      </c>
      <c r="P45" s="138">
        <f t="shared" si="6"/>
        <v>16.946000000000002</v>
      </c>
      <c r="Q45" s="138">
        <f t="shared" si="7"/>
        <v>22.6921</v>
      </c>
    </row>
    <row r="46" spans="1:17" hidden="1" x14ac:dyDescent="0.25">
      <c r="B46" s="101"/>
      <c r="L46" s="245"/>
      <c r="M46" s="16"/>
      <c r="N46" s="16"/>
      <c r="O46" s="234"/>
    </row>
    <row r="47" spans="1:17" hidden="1" x14ac:dyDescent="0.25">
      <c r="B47" s="101"/>
      <c r="L47" s="245"/>
      <c r="M47" s="16"/>
      <c r="N47" s="16"/>
      <c r="O47" s="234"/>
    </row>
    <row r="48" spans="1:17" ht="13.8" hidden="1" x14ac:dyDescent="0.3">
      <c r="A48" s="97" t="s">
        <v>107</v>
      </c>
      <c r="C48" t="s">
        <v>96</v>
      </c>
      <c r="D48" t="s">
        <v>8</v>
      </c>
      <c r="L48" s="245"/>
      <c r="M48" s="16"/>
      <c r="N48" s="16"/>
      <c r="O48" s="234"/>
    </row>
    <row r="49" spans="1:15" ht="13.8" hidden="1" x14ac:dyDescent="0.3">
      <c r="A49" s="97" t="s">
        <v>108</v>
      </c>
      <c r="B49">
        <v>3</v>
      </c>
      <c r="C49" t="s">
        <v>138</v>
      </c>
      <c r="D49" t="s">
        <v>63</v>
      </c>
      <c r="L49" s="245"/>
      <c r="M49" s="16"/>
      <c r="N49" s="16"/>
      <c r="O49" s="234"/>
    </row>
    <row r="50" spans="1:15" ht="14.4" hidden="1" thickBot="1" x14ac:dyDescent="0.35">
      <c r="A50" s="2" t="s">
        <v>109</v>
      </c>
      <c r="B50">
        <v>10</v>
      </c>
      <c r="C50" t="s">
        <v>138</v>
      </c>
      <c r="D50" t="s">
        <v>65</v>
      </c>
      <c r="K50" s="229" t="s">
        <v>189</v>
      </c>
      <c r="L50" s="73">
        <v>0</v>
      </c>
      <c r="M50" s="74">
        <v>0</v>
      </c>
      <c r="N50" s="75">
        <v>0</v>
      </c>
      <c r="O50" s="112">
        <v>0</v>
      </c>
    </row>
    <row r="51" spans="1:15" ht="13.8" x14ac:dyDescent="0.3">
      <c r="A51" s="2" t="s">
        <v>110</v>
      </c>
      <c r="B51">
        <v>11</v>
      </c>
      <c r="C51" t="s">
        <v>138</v>
      </c>
      <c r="D51" t="s">
        <v>141</v>
      </c>
    </row>
    <row r="52" spans="1:15" ht="13.8" x14ac:dyDescent="0.3">
      <c r="A52" s="2" t="s">
        <v>111</v>
      </c>
      <c r="B52">
        <v>12</v>
      </c>
      <c r="C52" t="s">
        <v>138</v>
      </c>
      <c r="D52" t="s">
        <v>67</v>
      </c>
    </row>
    <row r="53" spans="1:15" ht="13.8" x14ac:dyDescent="0.3">
      <c r="A53" s="2" t="s">
        <v>112</v>
      </c>
      <c r="B53">
        <v>13</v>
      </c>
      <c r="C53" t="s">
        <v>139</v>
      </c>
      <c r="D53" t="s">
        <v>63</v>
      </c>
    </row>
    <row r="54" spans="1:15" ht="13.8" x14ac:dyDescent="0.3">
      <c r="A54" s="2" t="s">
        <v>113</v>
      </c>
      <c r="B54">
        <v>5</v>
      </c>
      <c r="C54" t="s">
        <v>139</v>
      </c>
      <c r="D54" t="s">
        <v>65</v>
      </c>
    </row>
    <row r="55" spans="1:15" ht="13.8" x14ac:dyDescent="0.3">
      <c r="A55" s="2" t="s">
        <v>114</v>
      </c>
      <c r="B55">
        <v>7</v>
      </c>
      <c r="C55" t="s">
        <v>139</v>
      </c>
      <c r="D55" t="s">
        <v>141</v>
      </c>
    </row>
    <row r="56" spans="1:15" ht="13.8" x14ac:dyDescent="0.3">
      <c r="A56" s="2" t="s">
        <v>115</v>
      </c>
      <c r="B56">
        <v>14</v>
      </c>
      <c r="C56" t="s">
        <v>139</v>
      </c>
      <c r="D56" t="s">
        <v>67</v>
      </c>
    </row>
    <row r="57" spans="1:15" ht="13.8" x14ac:dyDescent="0.3">
      <c r="A57" s="2" t="s">
        <v>116</v>
      </c>
      <c r="B57">
        <v>15</v>
      </c>
      <c r="C57" t="s">
        <v>140</v>
      </c>
      <c r="D57" t="s">
        <v>63</v>
      </c>
    </row>
    <row r="58" spans="1:15" ht="13.8" x14ac:dyDescent="0.3">
      <c r="A58" s="2" t="s">
        <v>117</v>
      </c>
      <c r="B58">
        <v>16</v>
      </c>
      <c r="C58" t="s">
        <v>140</v>
      </c>
      <c r="D58" t="s">
        <v>65</v>
      </c>
    </row>
    <row r="59" spans="1:15" ht="13.8" x14ac:dyDescent="0.3">
      <c r="A59" s="2" t="s">
        <v>118</v>
      </c>
      <c r="B59">
        <v>17</v>
      </c>
      <c r="C59" t="s">
        <v>140</v>
      </c>
      <c r="D59" t="s">
        <v>141</v>
      </c>
    </row>
    <row r="60" spans="1:15" ht="13.8" x14ac:dyDescent="0.3">
      <c r="A60" s="2" t="s">
        <v>119</v>
      </c>
      <c r="B60">
        <v>9</v>
      </c>
      <c r="C60" t="s">
        <v>140</v>
      </c>
      <c r="D60" t="s">
        <v>67</v>
      </c>
    </row>
    <row r="61" spans="1:15" ht="13.8" x14ac:dyDescent="0.3">
      <c r="A61" s="2"/>
    </row>
    <row r="62" spans="1:15" ht="13.8" x14ac:dyDescent="0.3">
      <c r="A62" s="2" t="s">
        <v>121</v>
      </c>
      <c r="B62">
        <v>0.50990000000000002</v>
      </c>
    </row>
    <row r="63" spans="1:15" ht="13.8" x14ac:dyDescent="0.3">
      <c r="A63" s="2" t="s">
        <v>122</v>
      </c>
      <c r="B63">
        <v>0.68269999999999997</v>
      </c>
    </row>
    <row r="64" spans="1:15" ht="13.8" x14ac:dyDescent="0.3">
      <c r="A64" s="2" t="s">
        <v>123</v>
      </c>
      <c r="B64">
        <v>1.113</v>
      </c>
    </row>
    <row r="65" spans="1:17" ht="13.8" x14ac:dyDescent="0.3">
      <c r="A65" s="2" t="s">
        <v>124</v>
      </c>
      <c r="B65">
        <v>1.96</v>
      </c>
    </row>
    <row r="66" spans="1:17" ht="13.8" x14ac:dyDescent="0.3">
      <c r="A66" s="2" t="s">
        <v>125</v>
      </c>
      <c r="B66">
        <v>2.1823999999999999</v>
      </c>
    </row>
    <row r="67" spans="1:17" ht="13.8" x14ac:dyDescent="0.3">
      <c r="A67" s="2" t="s">
        <v>128</v>
      </c>
      <c r="B67">
        <v>0.89859999999999995</v>
      </c>
    </row>
    <row r="68" spans="1:17" ht="13.8" x14ac:dyDescent="0.3">
      <c r="A68" s="2" t="s">
        <v>126</v>
      </c>
      <c r="B68">
        <v>0.45800000000000002</v>
      </c>
    </row>
    <row r="69" spans="1:17" ht="13.8" x14ac:dyDescent="0.3">
      <c r="A69" s="2" t="s">
        <v>127</v>
      </c>
      <c r="B69">
        <v>0.61329999999999996</v>
      </c>
    </row>
    <row r="70" spans="1:17" ht="13.8" x14ac:dyDescent="0.3">
      <c r="A70" s="2" t="s">
        <v>128</v>
      </c>
      <c r="B70">
        <v>0.89859999999999995</v>
      </c>
    </row>
    <row r="71" spans="1:17" ht="13.8" x14ac:dyDescent="0.3">
      <c r="A71" s="2" t="s">
        <v>129</v>
      </c>
      <c r="B71">
        <v>1.4646999999999999</v>
      </c>
    </row>
    <row r="72" spans="1:17" ht="13.8" x14ac:dyDescent="0.3">
      <c r="A72" s="2" t="s">
        <v>130</v>
      </c>
      <c r="B72">
        <v>1.63</v>
      </c>
    </row>
    <row r="74" spans="1:17" x14ac:dyDescent="0.25">
      <c r="B74">
        <v>2</v>
      </c>
      <c r="C74">
        <v>3</v>
      </c>
      <c r="D74">
        <v>4</v>
      </c>
      <c r="E74">
        <v>5</v>
      </c>
      <c r="F74">
        <v>6</v>
      </c>
      <c r="G74">
        <v>7</v>
      </c>
      <c r="H74">
        <v>8</v>
      </c>
      <c r="I74">
        <v>9</v>
      </c>
      <c r="J74" s="29">
        <v>10</v>
      </c>
      <c r="K74" s="29">
        <v>11</v>
      </c>
      <c r="L74" s="29">
        <v>12</v>
      </c>
      <c r="M74" s="29">
        <v>13</v>
      </c>
      <c r="N74" s="29">
        <v>14</v>
      </c>
      <c r="O74" s="29">
        <v>15</v>
      </c>
      <c r="P74" s="29">
        <v>16</v>
      </c>
      <c r="Q74" s="29">
        <v>17</v>
      </c>
    </row>
  </sheetData>
  <sheetProtection password="D841" sheet="1" objects="1" scenarios="1"/>
  <mergeCells count="1">
    <mergeCell ref="L1:M1"/>
  </mergeCells>
  <phoneticPr fontId="7" type="noConversion"/>
  <dataValidations count="1">
    <dataValidation type="decimal" allowBlank="1" showInputMessage="1" showErrorMessage="1" sqref="O3:O10 O50">
      <formula1>0</formula1>
      <formula2>9</formula2>
    </dataValidation>
  </dataValidations>
  <pageMargins left="0.75" right="0.75" top="1" bottom="1" header="0.5" footer="0.5"/>
  <pageSetup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O38"/>
  <sheetViews>
    <sheetView workbookViewId="0">
      <selection activeCell="L12" sqref="L12"/>
    </sheetView>
  </sheetViews>
  <sheetFormatPr defaultRowHeight="13.2" x14ac:dyDescent="0.25"/>
  <cols>
    <col min="1" max="1" width="25.77734375" customWidth="1"/>
    <col min="2" max="2" width="10.33203125" customWidth="1"/>
    <col min="3" max="9" width="11.44140625" customWidth="1"/>
    <col min="10" max="10" width="15.109375" style="29" customWidth="1"/>
    <col min="11" max="11" width="19.44140625" bestFit="1" customWidth="1"/>
    <col min="12" max="12" width="13.109375" customWidth="1"/>
    <col min="14" max="14" width="12.6640625" bestFit="1" customWidth="1"/>
  </cols>
  <sheetData>
    <row r="1" spans="1:15" x14ac:dyDescent="0.25">
      <c r="A1" s="407" t="s">
        <v>193</v>
      </c>
      <c r="B1" s="407"/>
      <c r="C1" s="407"/>
      <c r="D1" s="407"/>
      <c r="E1" s="407"/>
      <c r="F1" s="407"/>
      <c r="G1" s="407"/>
      <c r="H1" s="407"/>
      <c r="I1" s="407"/>
      <c r="L1" s="1" t="s">
        <v>1</v>
      </c>
      <c r="N1" s="1" t="s">
        <v>18</v>
      </c>
    </row>
    <row r="2" spans="1:15" ht="13.8" thickBot="1" x14ac:dyDescent="0.3">
      <c r="A2" s="1"/>
      <c r="B2" s="30" t="s">
        <v>63</v>
      </c>
      <c r="C2" s="30" t="s">
        <v>63</v>
      </c>
      <c r="D2" s="30" t="s">
        <v>65</v>
      </c>
      <c r="E2" s="30" t="s">
        <v>65</v>
      </c>
      <c r="F2" s="30" t="s">
        <v>66</v>
      </c>
      <c r="G2" s="30" t="s">
        <v>66</v>
      </c>
      <c r="H2" s="30" t="s">
        <v>67</v>
      </c>
      <c r="I2" s="30" t="s">
        <v>67</v>
      </c>
      <c r="J2" s="28"/>
      <c r="L2" t="s">
        <v>14</v>
      </c>
      <c r="M2" t="s">
        <v>15</v>
      </c>
      <c r="N2" t="s">
        <v>14</v>
      </c>
      <c r="O2" t="s">
        <v>15</v>
      </c>
    </row>
    <row r="3" spans="1:15" x14ac:dyDescent="0.25">
      <c r="A3" s="47" t="s">
        <v>9</v>
      </c>
      <c r="B3" s="96" t="s">
        <v>10</v>
      </c>
      <c r="C3" s="49" t="s">
        <v>8</v>
      </c>
      <c r="D3" s="48" t="s">
        <v>10</v>
      </c>
      <c r="E3" s="49" t="s">
        <v>8</v>
      </c>
      <c r="F3" s="48" t="s">
        <v>10</v>
      </c>
      <c r="G3" s="49" t="s">
        <v>8</v>
      </c>
      <c r="H3" s="48" t="s">
        <v>10</v>
      </c>
      <c r="I3" s="49" t="s">
        <v>8</v>
      </c>
      <c r="J3" s="100"/>
      <c r="K3" t="s">
        <v>75</v>
      </c>
      <c r="L3" s="69">
        <v>0.125</v>
      </c>
      <c r="M3" s="70">
        <v>0.05</v>
      </c>
      <c r="N3" s="71">
        <v>0.125</v>
      </c>
      <c r="O3" s="110">
        <v>0</v>
      </c>
    </row>
    <row r="4" spans="1:15" ht="13.8" x14ac:dyDescent="0.3">
      <c r="A4" s="61" t="s">
        <v>35</v>
      </c>
      <c r="B4" s="101">
        <v>300</v>
      </c>
      <c r="C4" s="102">
        <v>161</v>
      </c>
      <c r="D4" s="103">
        <v>180</v>
      </c>
      <c r="E4" s="102">
        <f>C4*$B$35</f>
        <v>83.72</v>
      </c>
      <c r="F4" s="103">
        <v>260</v>
      </c>
      <c r="G4" s="102">
        <f t="shared" ref="G4:G21" si="0">E4*$B$38</f>
        <v>127.2544</v>
      </c>
      <c r="H4" s="103">
        <v>345</v>
      </c>
      <c r="I4" s="102">
        <f>C4*$B$36</f>
        <v>207.69</v>
      </c>
      <c r="J4" s="100"/>
      <c r="K4" t="s">
        <v>76</v>
      </c>
      <c r="L4" s="72">
        <v>0.125</v>
      </c>
      <c r="M4" s="16">
        <v>0.1</v>
      </c>
      <c r="N4" s="19">
        <v>0.125</v>
      </c>
      <c r="O4" s="111">
        <v>0</v>
      </c>
    </row>
    <row r="5" spans="1:15" ht="13.8" x14ac:dyDescent="0.3">
      <c r="A5" s="61" t="s">
        <v>36</v>
      </c>
      <c r="B5" s="101">
        <v>300</v>
      </c>
      <c r="C5" s="102">
        <f>E5*$C$35</f>
        <v>184.29999999999998</v>
      </c>
      <c r="D5" s="103">
        <v>180</v>
      </c>
      <c r="E5" s="102">
        <v>97</v>
      </c>
      <c r="F5" s="103">
        <v>260</v>
      </c>
      <c r="G5" s="102">
        <f t="shared" si="0"/>
        <v>147.44</v>
      </c>
      <c r="H5" s="103">
        <v>345</v>
      </c>
      <c r="I5" s="102">
        <f>E5*$B$37</f>
        <v>245.40999999999997</v>
      </c>
      <c r="J5" s="100"/>
      <c r="K5" t="s">
        <v>77</v>
      </c>
      <c r="L5" s="72">
        <v>0.125</v>
      </c>
      <c r="M5" s="16">
        <v>0.15</v>
      </c>
      <c r="N5" s="19">
        <v>0.125</v>
      </c>
      <c r="O5" s="111">
        <v>0</v>
      </c>
    </row>
    <row r="6" spans="1:15" ht="13.8" x14ac:dyDescent="0.3">
      <c r="A6" s="61" t="s">
        <v>37</v>
      </c>
      <c r="B6" s="101">
        <v>300</v>
      </c>
      <c r="C6" s="102">
        <f>I6*$C$36</f>
        <v>139.46994000000001</v>
      </c>
      <c r="D6" s="103">
        <v>180</v>
      </c>
      <c r="E6" s="102">
        <f>I6*$C$37</f>
        <v>70.2</v>
      </c>
      <c r="F6" s="103">
        <v>260</v>
      </c>
      <c r="G6" s="102">
        <f t="shared" si="0"/>
        <v>106.70400000000001</v>
      </c>
      <c r="H6" s="103">
        <v>345</v>
      </c>
      <c r="I6" s="102">
        <v>180</v>
      </c>
      <c r="J6" s="100"/>
      <c r="K6" t="s">
        <v>78</v>
      </c>
      <c r="L6" s="72">
        <v>0.125</v>
      </c>
      <c r="M6" s="16">
        <v>0.25</v>
      </c>
      <c r="N6" s="19">
        <v>0.125</v>
      </c>
      <c r="O6" s="111">
        <v>0</v>
      </c>
    </row>
    <row r="7" spans="1:15" ht="14.4" thickBot="1" x14ac:dyDescent="0.35">
      <c r="A7" s="61" t="s">
        <v>38</v>
      </c>
      <c r="B7" s="101">
        <v>260</v>
      </c>
      <c r="C7" s="102">
        <v>123</v>
      </c>
      <c r="D7" s="103">
        <v>160</v>
      </c>
      <c r="E7" s="102">
        <f>C7*$B$35</f>
        <v>63.96</v>
      </c>
      <c r="F7" s="103">
        <v>235</v>
      </c>
      <c r="G7" s="102">
        <f t="shared" si="0"/>
        <v>97.219200000000001</v>
      </c>
      <c r="H7" s="103">
        <v>315</v>
      </c>
      <c r="I7" s="102">
        <f>C7*$B$36</f>
        <v>158.67000000000002</v>
      </c>
      <c r="J7" s="100"/>
      <c r="K7" t="s">
        <v>19</v>
      </c>
      <c r="L7" s="73">
        <v>0</v>
      </c>
      <c r="M7" s="74">
        <v>0</v>
      </c>
      <c r="N7" s="75">
        <v>0</v>
      </c>
      <c r="O7" s="112">
        <v>0</v>
      </c>
    </row>
    <row r="8" spans="1:15" ht="13.8" x14ac:dyDescent="0.3">
      <c r="A8" s="61" t="s">
        <v>39</v>
      </c>
      <c r="B8" s="101">
        <v>260</v>
      </c>
      <c r="C8" s="102">
        <f>E8*$C$35</f>
        <v>131.1</v>
      </c>
      <c r="D8" s="103">
        <v>160</v>
      </c>
      <c r="E8" s="102">
        <v>69</v>
      </c>
      <c r="F8" s="103">
        <v>235</v>
      </c>
      <c r="G8" s="102">
        <f t="shared" si="0"/>
        <v>104.88</v>
      </c>
      <c r="H8" s="103">
        <v>315</v>
      </c>
      <c r="I8" s="102">
        <f>E8*$B$37</f>
        <v>174.57</v>
      </c>
      <c r="J8" s="100"/>
      <c r="L8" s="408" t="s">
        <v>194</v>
      </c>
      <c r="M8" s="408"/>
      <c r="N8" s="408"/>
      <c r="O8" s="408"/>
    </row>
    <row r="9" spans="1:15" ht="13.8" x14ac:dyDescent="0.3">
      <c r="A9" s="61" t="s">
        <v>40</v>
      </c>
      <c r="B9" s="101">
        <v>260</v>
      </c>
      <c r="C9" s="102">
        <f>I9*$C$36</f>
        <v>115.45011700000001</v>
      </c>
      <c r="D9" s="103">
        <v>160</v>
      </c>
      <c r="E9" s="102">
        <f>I9*$C$37</f>
        <v>58.11</v>
      </c>
      <c r="F9" s="103">
        <v>235</v>
      </c>
      <c r="G9" s="102">
        <f t="shared" si="0"/>
        <v>88.327200000000005</v>
      </c>
      <c r="H9" s="103">
        <v>315</v>
      </c>
      <c r="I9" s="102">
        <v>149</v>
      </c>
      <c r="J9" s="100"/>
      <c r="L9" s="29"/>
      <c r="M9" s="29"/>
    </row>
    <row r="10" spans="1:15" ht="13.8" x14ac:dyDescent="0.3">
      <c r="A10" s="61" t="s">
        <v>41</v>
      </c>
      <c r="B10" s="101">
        <v>300</v>
      </c>
      <c r="C10" s="102">
        <v>161</v>
      </c>
      <c r="D10" s="103">
        <v>180</v>
      </c>
      <c r="E10" s="102">
        <f>C10*$B$35</f>
        <v>83.72</v>
      </c>
      <c r="F10" s="103">
        <v>260</v>
      </c>
      <c r="G10" s="102">
        <f t="shared" si="0"/>
        <v>127.2544</v>
      </c>
      <c r="H10" s="103">
        <v>345</v>
      </c>
      <c r="I10" s="102">
        <f>C10*$B$36</f>
        <v>207.69</v>
      </c>
      <c r="J10" s="100"/>
    </row>
    <row r="11" spans="1:15" ht="13.8" x14ac:dyDescent="0.3">
      <c r="A11" s="61" t="s">
        <v>42</v>
      </c>
      <c r="B11" s="101">
        <v>300</v>
      </c>
      <c r="C11" s="102">
        <f>E11*$C$35</f>
        <v>131.1</v>
      </c>
      <c r="D11" s="103">
        <v>180</v>
      </c>
      <c r="E11" s="102">
        <v>69</v>
      </c>
      <c r="F11" s="103">
        <v>260</v>
      </c>
      <c r="G11" s="102">
        <f t="shared" si="0"/>
        <v>104.88</v>
      </c>
      <c r="H11" s="103">
        <v>345</v>
      </c>
      <c r="I11" s="102">
        <f>E11*$B$37</f>
        <v>174.57</v>
      </c>
      <c r="J11" s="100"/>
    </row>
    <row r="12" spans="1:15" ht="13.8" x14ac:dyDescent="0.3">
      <c r="A12" s="61" t="s">
        <v>43</v>
      </c>
      <c r="B12" s="101">
        <v>300</v>
      </c>
      <c r="C12" s="102">
        <f>I12*$C$36</f>
        <v>115.45011700000001</v>
      </c>
      <c r="D12" s="103">
        <v>180</v>
      </c>
      <c r="E12" s="102">
        <f>I12*$C$37</f>
        <v>58.11</v>
      </c>
      <c r="F12" s="103">
        <v>260</v>
      </c>
      <c r="G12" s="102">
        <f t="shared" si="0"/>
        <v>88.327200000000005</v>
      </c>
      <c r="H12" s="103">
        <v>345</v>
      </c>
      <c r="I12" s="102">
        <v>149</v>
      </c>
      <c r="J12" s="135"/>
      <c r="K12" s="136"/>
    </row>
    <row r="13" spans="1:15" ht="13.8" x14ac:dyDescent="0.3">
      <c r="A13" s="61" t="s">
        <v>44</v>
      </c>
      <c r="B13" s="101">
        <v>260</v>
      </c>
      <c r="C13" s="102">
        <v>130</v>
      </c>
      <c r="D13" s="103">
        <v>160</v>
      </c>
      <c r="E13" s="102">
        <f>C13*$B$35</f>
        <v>67.600000000000009</v>
      </c>
      <c r="F13" s="103">
        <v>235</v>
      </c>
      <c r="G13" s="102">
        <f t="shared" si="0"/>
        <v>102.75200000000001</v>
      </c>
      <c r="H13" s="103">
        <v>315</v>
      </c>
      <c r="I13" s="102">
        <f>C13*$B$36</f>
        <v>167.70000000000002</v>
      </c>
      <c r="J13" s="135"/>
      <c r="K13" s="136"/>
    </row>
    <row r="14" spans="1:15" ht="13.8" x14ac:dyDescent="0.3">
      <c r="A14" s="61" t="s">
        <v>45</v>
      </c>
      <c r="B14" s="101">
        <v>260</v>
      </c>
      <c r="C14" s="102">
        <f>E14*$C$35</f>
        <v>152</v>
      </c>
      <c r="D14" s="103">
        <v>160</v>
      </c>
      <c r="E14" s="102">
        <v>80</v>
      </c>
      <c r="F14" s="103">
        <v>235</v>
      </c>
      <c r="G14" s="102">
        <f t="shared" si="0"/>
        <v>121.6</v>
      </c>
      <c r="H14" s="103">
        <v>315</v>
      </c>
      <c r="I14" s="102">
        <f>E14*$B$37</f>
        <v>202.39999999999998</v>
      </c>
      <c r="K14" s="103"/>
    </row>
    <row r="15" spans="1:15" ht="13.8" x14ac:dyDescent="0.3">
      <c r="A15" s="61" t="s">
        <v>46</v>
      </c>
      <c r="B15" s="101">
        <v>260</v>
      </c>
      <c r="C15" s="102">
        <f>I15*$C$36</f>
        <v>115.45011700000001</v>
      </c>
      <c r="D15" s="103">
        <v>160</v>
      </c>
      <c r="E15" s="102">
        <f>I15*$C$37</f>
        <v>58.11</v>
      </c>
      <c r="F15" s="103">
        <v>235</v>
      </c>
      <c r="G15" s="102">
        <f t="shared" si="0"/>
        <v>88.327200000000005</v>
      </c>
      <c r="H15" s="103">
        <v>315</v>
      </c>
      <c r="I15" s="102">
        <v>149</v>
      </c>
    </row>
    <row r="16" spans="1:15" ht="13.8" x14ac:dyDescent="0.3">
      <c r="A16" s="61" t="s">
        <v>47</v>
      </c>
      <c r="B16" s="101">
        <v>225</v>
      </c>
      <c r="C16" s="102">
        <v>91</v>
      </c>
      <c r="D16" s="103">
        <v>140</v>
      </c>
      <c r="E16" s="102">
        <f>C16*$B$35</f>
        <v>47.32</v>
      </c>
      <c r="F16" s="103">
        <v>205</v>
      </c>
      <c r="G16" s="102">
        <f t="shared" si="0"/>
        <v>71.926400000000001</v>
      </c>
      <c r="H16" s="103">
        <v>275</v>
      </c>
      <c r="I16" s="102">
        <f>C16*$B$36</f>
        <v>117.39</v>
      </c>
    </row>
    <row r="17" spans="1:9" ht="13.8" x14ac:dyDescent="0.3">
      <c r="A17" s="61" t="s">
        <v>48</v>
      </c>
      <c r="B17" s="101">
        <v>225</v>
      </c>
      <c r="C17" s="102">
        <f>E17*$C$35</f>
        <v>98.8</v>
      </c>
      <c r="D17" s="103">
        <v>140</v>
      </c>
      <c r="E17" s="102">
        <v>52</v>
      </c>
      <c r="F17" s="103">
        <v>205</v>
      </c>
      <c r="G17" s="102">
        <f t="shared" si="0"/>
        <v>79.040000000000006</v>
      </c>
      <c r="H17" s="103">
        <v>275</v>
      </c>
      <c r="I17" s="102">
        <f>E17*$B$37</f>
        <v>131.56</v>
      </c>
    </row>
    <row r="18" spans="1:9" ht="13.8" x14ac:dyDescent="0.3">
      <c r="A18" s="61" t="s">
        <v>49</v>
      </c>
      <c r="B18" s="101">
        <v>225</v>
      </c>
      <c r="C18" s="102">
        <f>I18*$C$36</f>
        <v>82.907130999999993</v>
      </c>
      <c r="D18" s="103">
        <v>140</v>
      </c>
      <c r="E18" s="102">
        <f>I18*$C$37</f>
        <v>41.730000000000004</v>
      </c>
      <c r="F18" s="103">
        <v>205</v>
      </c>
      <c r="G18" s="102">
        <f t="shared" si="0"/>
        <v>63.429600000000008</v>
      </c>
      <c r="H18" s="103">
        <v>275</v>
      </c>
      <c r="I18" s="102">
        <v>107</v>
      </c>
    </row>
    <row r="19" spans="1:9" ht="13.8" x14ac:dyDescent="0.3">
      <c r="A19" s="61" t="s">
        <v>50</v>
      </c>
      <c r="B19" s="101">
        <v>200</v>
      </c>
      <c r="C19" s="102">
        <v>69</v>
      </c>
      <c r="D19" s="103">
        <v>115</v>
      </c>
      <c r="E19" s="102">
        <f>C19*$B$35</f>
        <v>35.880000000000003</v>
      </c>
      <c r="F19" s="103">
        <v>170</v>
      </c>
      <c r="G19" s="102">
        <f t="shared" si="0"/>
        <v>54.537600000000005</v>
      </c>
      <c r="H19" s="103">
        <v>205</v>
      </c>
      <c r="I19" s="102">
        <f>C19*$B$36</f>
        <v>89.01</v>
      </c>
    </row>
    <row r="20" spans="1:9" ht="13.8" x14ac:dyDescent="0.3">
      <c r="A20" s="61" t="s">
        <v>51</v>
      </c>
      <c r="B20" s="101">
        <v>200</v>
      </c>
      <c r="C20" s="102">
        <f>E20*$C$35</f>
        <v>68.399999999999991</v>
      </c>
      <c r="D20" s="103">
        <v>115</v>
      </c>
      <c r="E20" s="102">
        <v>36</v>
      </c>
      <c r="F20" s="103">
        <v>170</v>
      </c>
      <c r="G20" s="102">
        <f t="shared" si="0"/>
        <v>54.72</v>
      </c>
      <c r="H20" s="103">
        <v>205</v>
      </c>
      <c r="I20" s="102">
        <f>E20*$B$37</f>
        <v>91.08</v>
      </c>
    </row>
    <row r="21" spans="1:9" ht="13.8" x14ac:dyDescent="0.3">
      <c r="A21" s="61" t="s">
        <v>52</v>
      </c>
      <c r="B21" s="101">
        <v>200</v>
      </c>
      <c r="C21" s="102">
        <f>I21*$C$36</f>
        <v>65.085971999999998</v>
      </c>
      <c r="D21" s="103">
        <v>115</v>
      </c>
      <c r="E21" s="102">
        <f>I21*$C$37</f>
        <v>32.76</v>
      </c>
      <c r="F21" s="103">
        <v>170</v>
      </c>
      <c r="G21" s="102">
        <f t="shared" si="0"/>
        <v>49.795199999999994</v>
      </c>
      <c r="H21" s="103">
        <v>205</v>
      </c>
      <c r="I21" s="102">
        <v>84</v>
      </c>
    </row>
    <row r="22" spans="1:9" ht="13.8" x14ac:dyDescent="0.3">
      <c r="A22" s="61" t="s">
        <v>68</v>
      </c>
      <c r="B22" s="101">
        <v>130</v>
      </c>
      <c r="C22" s="102">
        <v>63</v>
      </c>
      <c r="D22" s="103">
        <v>70</v>
      </c>
      <c r="E22" s="102">
        <v>35</v>
      </c>
      <c r="F22" s="103">
        <v>100</v>
      </c>
      <c r="G22" s="102">
        <v>51</v>
      </c>
      <c r="H22" s="103">
        <v>165</v>
      </c>
      <c r="I22" s="102">
        <v>83</v>
      </c>
    </row>
    <row r="23" spans="1:9" ht="13.8" x14ac:dyDescent="0.3">
      <c r="A23" s="61" t="s">
        <v>69</v>
      </c>
      <c r="B23" s="101">
        <v>145</v>
      </c>
      <c r="C23" s="102">
        <v>71</v>
      </c>
      <c r="D23" s="103">
        <v>80</v>
      </c>
      <c r="E23" s="102">
        <v>40</v>
      </c>
      <c r="F23" s="103">
        <v>115</v>
      </c>
      <c r="G23" s="102">
        <v>58</v>
      </c>
      <c r="H23" s="103">
        <v>185</v>
      </c>
      <c r="I23" s="102">
        <v>94</v>
      </c>
    </row>
    <row r="24" spans="1:9" ht="13.8" x14ac:dyDescent="0.3">
      <c r="A24" s="61" t="s">
        <v>70</v>
      </c>
      <c r="B24" s="101">
        <v>50</v>
      </c>
      <c r="C24" s="102">
        <v>24</v>
      </c>
      <c r="D24" s="103">
        <v>30</v>
      </c>
      <c r="E24" s="102">
        <v>14</v>
      </c>
      <c r="F24" s="103">
        <v>45</v>
      </c>
      <c r="G24" s="102">
        <v>20</v>
      </c>
      <c r="H24" s="103">
        <v>65</v>
      </c>
      <c r="I24" s="102">
        <v>3</v>
      </c>
    </row>
    <row r="25" spans="1:9" ht="13.8" x14ac:dyDescent="0.3">
      <c r="A25" s="62" t="s">
        <v>71</v>
      </c>
      <c r="B25" s="104">
        <v>60</v>
      </c>
      <c r="C25" s="105">
        <v>28</v>
      </c>
      <c r="D25" s="106">
        <v>35</v>
      </c>
      <c r="E25" s="105">
        <v>16</v>
      </c>
      <c r="F25" s="106">
        <v>50</v>
      </c>
      <c r="G25" s="105">
        <v>23</v>
      </c>
      <c r="H25" s="106">
        <v>75</v>
      </c>
      <c r="I25" s="105">
        <v>37</v>
      </c>
    </row>
    <row r="26" spans="1:9" x14ac:dyDescent="0.25">
      <c r="A26" s="29"/>
      <c r="B26" s="100"/>
      <c r="C26" s="100"/>
      <c r="D26" s="100"/>
      <c r="E26" s="100"/>
      <c r="F26" s="100"/>
      <c r="G26" s="100"/>
      <c r="H26" s="100"/>
      <c r="I26" s="100"/>
    </row>
    <row r="27" spans="1:9" x14ac:dyDescent="0.25">
      <c r="A27" s="28" t="s">
        <v>72</v>
      </c>
      <c r="B27" s="107" t="s">
        <v>73</v>
      </c>
      <c r="C27" s="107" t="s">
        <v>8</v>
      </c>
      <c r="D27" s="100"/>
      <c r="E27" s="100"/>
      <c r="F27" s="100"/>
      <c r="G27" s="100"/>
      <c r="H27" s="100"/>
      <c r="I27" s="100"/>
    </row>
    <row r="28" spans="1:9" ht="13.8" x14ac:dyDescent="0.3">
      <c r="A28" s="97" t="s">
        <v>63</v>
      </c>
      <c r="B28" s="108">
        <v>2</v>
      </c>
      <c r="C28" s="108">
        <v>3</v>
      </c>
      <c r="D28" s="109"/>
      <c r="E28" s="109"/>
      <c r="F28" s="109"/>
      <c r="G28" s="109"/>
      <c r="H28" s="109"/>
      <c r="I28" s="109"/>
    </row>
    <row r="29" spans="1:9" ht="13.8" x14ac:dyDescent="0.3">
      <c r="A29" s="97" t="s">
        <v>65</v>
      </c>
      <c r="B29" s="108">
        <v>4</v>
      </c>
      <c r="C29" s="108">
        <v>5</v>
      </c>
    </row>
    <row r="30" spans="1:9" ht="13.8" x14ac:dyDescent="0.3">
      <c r="A30" s="97" t="s">
        <v>74</v>
      </c>
      <c r="B30" s="108">
        <v>6</v>
      </c>
      <c r="C30" s="108">
        <v>7</v>
      </c>
    </row>
    <row r="31" spans="1:9" ht="13.8" x14ac:dyDescent="0.3">
      <c r="A31" s="97" t="s">
        <v>67</v>
      </c>
      <c r="B31" s="108">
        <v>8</v>
      </c>
      <c r="C31" s="108">
        <v>9</v>
      </c>
    </row>
    <row r="34" spans="1:3" x14ac:dyDescent="0.25">
      <c r="A34" s="135" t="s">
        <v>87</v>
      </c>
      <c r="B34" s="136">
        <v>0.77127999999999997</v>
      </c>
      <c r="C34" s="137">
        <v>1.29</v>
      </c>
    </row>
    <row r="35" spans="1:3" x14ac:dyDescent="0.25">
      <c r="A35" s="135" t="s">
        <v>88</v>
      </c>
      <c r="B35" s="136">
        <v>0.52</v>
      </c>
      <c r="C35" s="138">
        <v>1.9</v>
      </c>
    </row>
    <row r="36" spans="1:3" x14ac:dyDescent="0.25">
      <c r="A36" s="29" t="s">
        <v>89</v>
      </c>
      <c r="B36" s="103">
        <v>1.29</v>
      </c>
      <c r="C36" s="138">
        <v>0.77483299999999999</v>
      </c>
    </row>
    <row r="37" spans="1:3" x14ac:dyDescent="0.25">
      <c r="A37" s="29" t="s">
        <v>90</v>
      </c>
      <c r="B37" s="103">
        <v>2.5299999999999998</v>
      </c>
      <c r="C37">
        <v>0.39</v>
      </c>
    </row>
    <row r="38" spans="1:3" x14ac:dyDescent="0.25">
      <c r="A38" s="29" t="s">
        <v>91</v>
      </c>
      <c r="B38" s="103">
        <v>1.52</v>
      </c>
      <c r="C38">
        <v>0.65800000000000003</v>
      </c>
    </row>
  </sheetData>
  <mergeCells count="2">
    <mergeCell ref="A1:I1"/>
    <mergeCell ref="L8:O8"/>
  </mergeCells>
  <phoneticPr fontId="7" type="noConversion"/>
  <pageMargins left="0.75" right="0.75" top="1" bottom="1" header="0.5" footer="0.5"/>
  <pageSetup scale="69" orientation="landscape" r:id="rId1"/>
  <headerFooter alignWithMargins="0">
    <oddFooter>&amp;Lcost FEB 2007</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13</vt:i4>
      </vt:variant>
    </vt:vector>
  </HeadingPairs>
  <TitlesOfParts>
    <vt:vector size="31" baseType="lpstr">
      <vt:lpstr>Summary</vt:lpstr>
      <vt:lpstr>TCP INVESTMENT</vt:lpstr>
      <vt:lpstr>Non-Reimbursable Expenses</vt:lpstr>
      <vt:lpstr>SPRINT ZERO</vt:lpstr>
      <vt:lpstr>SPRINT 1-N</vt:lpstr>
      <vt:lpstr>SPRINT Z</vt:lpstr>
      <vt:lpstr>SPRINT definition</vt:lpstr>
      <vt:lpstr>INVESTMENT</vt:lpstr>
      <vt:lpstr>SE</vt:lpstr>
      <vt:lpstr>Risks and Assumptions</vt:lpstr>
      <vt:lpstr>RATE CARD</vt:lpstr>
      <vt:lpstr>Inception</vt:lpstr>
      <vt:lpstr>Elaboration</vt:lpstr>
      <vt:lpstr>Construction</vt:lpstr>
      <vt:lpstr>Transition</vt:lpstr>
      <vt:lpstr>gsrates</vt:lpstr>
      <vt:lpstr>RISK</vt:lpstr>
      <vt:lpstr>rates</vt:lpstr>
      <vt:lpstr>Margin_Target</vt:lpstr>
      <vt:lpstr>Construction!Print_Area</vt:lpstr>
      <vt:lpstr>Elaboration!Print_Area</vt:lpstr>
      <vt:lpstr>Inception!Print_Area</vt:lpstr>
      <vt:lpstr>INVESTMENT!Print_Area</vt:lpstr>
      <vt:lpstr>'RATE CARD'!Print_Area</vt:lpstr>
      <vt:lpstr>SE!Print_Area</vt:lpstr>
      <vt:lpstr>'SPRINT 1-N'!Print_Area</vt:lpstr>
      <vt:lpstr>'SPRINT Z'!Print_Area</vt:lpstr>
      <vt:lpstr>'SPRINT ZERO'!Print_Area</vt:lpstr>
      <vt:lpstr>Summary!Print_Area</vt:lpstr>
      <vt:lpstr>'TCP INVESTMENT'!Print_Area</vt:lpstr>
      <vt:lpstr>Transition!Print_Area</vt:lpstr>
    </vt:vector>
  </TitlesOfParts>
  <Company>Pegasystems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Adriana Pogoda</dc:creator>
  <cp:lastModifiedBy>Ray Chaudhuri, Pooja</cp:lastModifiedBy>
  <cp:lastPrinted>2015-07-01T11:20:10Z</cp:lastPrinted>
  <dcterms:created xsi:type="dcterms:W3CDTF">2006-01-03T13:58:19Z</dcterms:created>
  <dcterms:modified xsi:type="dcterms:W3CDTF">2017-10-26T12:36:35Z</dcterms:modified>
</cp:coreProperties>
</file>